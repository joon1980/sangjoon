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정데이터" sheetId="1" state="visible" r:id="rId1"/>
    <sheet xmlns:r="http://schemas.openxmlformats.org/officeDocument/2006/relationships" name="통계요약" sheetId="2" state="visible" r:id="rId2"/>
    <sheet xmlns:r="http://schemas.openxmlformats.org/officeDocument/2006/relationships" name="데이터설명" sheetId="3" state="visible" r:id="rId3"/>
  </sheets>
  <definedNames>
    <definedName name="_xlnm._FilterDatabase" localSheetId="0" hidden="1">'공정데이터'!$A$2:$K$202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F3C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F3C"/>
      <sz val="11"/>
    </font>
  </fonts>
  <fills count="6">
    <fill>
      <patternFill/>
    </fill>
    <fill>
      <patternFill patternType="gray125"/>
    </fill>
    <fill>
      <patternFill patternType="solid">
        <fgColor rgb="00EEF0FA"/>
      </patternFill>
    </fill>
    <fill>
      <patternFill patternType="solid">
        <fgColor rgb="001A1F3C"/>
      </patternFill>
    </fill>
    <fill>
      <patternFill patternType="solid">
        <fgColor rgb="00FFFFFF"/>
      </patternFill>
    </fill>
    <fill>
      <patternFill patternType="solid">
        <fgColor rgb="00F7F8FC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1" t="inlineStr">
        <is>
          <t>🏭  스마트팩토리 공정 데이터  |  2024년 1분기</t>
        </is>
      </c>
    </row>
    <row r="2" ht="22" customHeight="1">
      <c r="A2" s="2" t="inlineStr">
        <is>
          <t>배치ID</t>
        </is>
      </c>
      <c r="B2" s="2" t="inlineStr">
        <is>
          <t>날짜</t>
        </is>
      </c>
      <c r="C2" s="2" t="inlineStr">
        <is>
          <t>라인</t>
        </is>
      </c>
      <c r="D2" s="2" t="inlineStr">
        <is>
          <t>제품코드</t>
        </is>
      </c>
      <c r="E2" s="2" t="inlineStr">
        <is>
          <t>온도(°C)</t>
        </is>
      </c>
      <c r="F2" s="2" t="inlineStr">
        <is>
          <t>압력(bar)</t>
        </is>
      </c>
      <c r="G2" s="2" t="inlineStr">
        <is>
          <t>습도(%)</t>
        </is>
      </c>
      <c r="H2" s="2" t="inlineStr">
        <is>
          <t>작업자ID</t>
        </is>
      </c>
      <c r="I2" s="2" t="inlineStr">
        <is>
          <t>생산수량</t>
        </is>
      </c>
      <c r="J2" s="2" t="inlineStr">
        <is>
          <t>불량수량</t>
        </is>
      </c>
      <c r="K2" s="2" t="inlineStr">
        <is>
          <t>불량률(%)</t>
        </is>
      </c>
    </row>
    <row r="3">
      <c r="A3" s="3" t="inlineStr">
        <is>
          <t>B2024001</t>
        </is>
      </c>
      <c r="B3" s="3" t="inlineStr">
        <is>
          <t>2024-03-18</t>
        </is>
      </c>
      <c r="C3" s="3" t="inlineStr">
        <is>
          <t>L-03</t>
        </is>
      </c>
      <c r="D3" s="3" t="inlineStr">
        <is>
          <t>PRD-A</t>
        </is>
      </c>
      <c r="E3" s="3" t="n">
        <v>191.3</v>
      </c>
      <c r="F3" s="3" t="n">
        <v>6.06</v>
      </c>
      <c r="G3" s="3" t="n">
        <v>57.7</v>
      </c>
      <c r="H3" s="3" t="inlineStr">
        <is>
          <t>W001</t>
        </is>
      </c>
      <c r="I3" s="3" t="n">
        <v>1885</v>
      </c>
      <c r="J3" s="3" t="n">
        <v>137</v>
      </c>
      <c r="K3" s="4">
        <f>IF(I3=0,0,J3/I3)</f>
        <v/>
      </c>
    </row>
    <row r="4">
      <c r="A4" s="5" t="inlineStr">
        <is>
          <t>B2024002</t>
        </is>
      </c>
      <c r="B4" s="5" t="inlineStr">
        <is>
          <t>2024-01-23</t>
        </is>
      </c>
      <c r="C4" s="5" t="inlineStr">
        <is>
          <t>L-03</t>
        </is>
      </c>
      <c r="D4" s="5" t="inlineStr">
        <is>
          <t>PRD-D</t>
        </is>
      </c>
      <c r="E4" s="5" t="n">
        <v>188.5</v>
      </c>
      <c r="F4" s="5" t="n">
        <v>6.04</v>
      </c>
      <c r="G4" s="5" t="n">
        <v>56.5</v>
      </c>
      <c r="H4" s="5" t="inlineStr">
        <is>
          <t>W005</t>
        </is>
      </c>
      <c r="I4" s="5" t="n">
        <v>1649</v>
      </c>
      <c r="J4" s="5" t="n">
        <v>67</v>
      </c>
      <c r="K4" s="6">
        <f>IF(I4=0,0,J4/I4)</f>
        <v/>
      </c>
    </row>
    <row r="5">
      <c r="A5" s="3" t="inlineStr">
        <is>
          <t>B2024003</t>
        </is>
      </c>
      <c r="B5" s="3" t="inlineStr">
        <is>
          <t>2024-03-14</t>
        </is>
      </c>
      <c r="C5" s="3" t="inlineStr">
        <is>
          <t>L-02</t>
        </is>
      </c>
      <c r="D5" s="3" t="inlineStr">
        <is>
          <t>PRD-B</t>
        </is>
      </c>
      <c r="E5" s="3" t="n">
        <v>178.9</v>
      </c>
      <c r="F5" s="3" t="n">
        <v>6.13</v>
      </c>
      <c r="G5" s="3" t="n">
        <v>66.5</v>
      </c>
      <c r="H5" s="3" t="inlineStr">
        <is>
          <t>W003</t>
        </is>
      </c>
      <c r="I5" s="3" t="n">
        <v>826</v>
      </c>
      <c r="J5" s="3" t="n">
        <v>20</v>
      </c>
      <c r="K5" s="4">
        <f>IF(I5=0,0,J5/I5)</f>
        <v/>
      </c>
    </row>
    <row r="6">
      <c r="A6" s="5" t="inlineStr">
        <is>
          <t>B2024004</t>
        </is>
      </c>
      <c r="B6" s="5" t="inlineStr">
        <is>
          <t>2024-02-20</t>
        </is>
      </c>
      <c r="C6" s="5" t="inlineStr">
        <is>
          <t>L-02</t>
        </is>
      </c>
      <c r="D6" s="5" t="inlineStr">
        <is>
          <t>PRD-B</t>
        </is>
      </c>
      <c r="E6" s="5" t="n">
        <v>187.9</v>
      </c>
      <c r="F6" s="5" t="n">
        <v>6.83</v>
      </c>
      <c r="G6" s="5" t="n">
        <v>62.8</v>
      </c>
      <c r="H6" s="5" t="inlineStr">
        <is>
          <t>W003</t>
        </is>
      </c>
      <c r="I6" s="5" t="n">
        <v>1235</v>
      </c>
      <c r="J6" s="5" t="n">
        <v>30</v>
      </c>
      <c r="K6" s="6">
        <f>IF(I6=0,0,J6/I6)</f>
        <v/>
      </c>
    </row>
    <row r="7">
      <c r="A7" s="3" t="inlineStr">
        <is>
          <t>B2024005</t>
        </is>
      </c>
      <c r="B7" s="3" t="inlineStr">
        <is>
          <t>2024-03-28</t>
        </is>
      </c>
      <c r="C7" s="3" t="inlineStr">
        <is>
          <t>L-01</t>
        </is>
      </c>
      <c r="D7" s="3" t="inlineStr">
        <is>
          <t>PRD-D</t>
        </is>
      </c>
      <c r="E7" s="3" t="n">
        <v>164</v>
      </c>
      <c r="F7" s="3" t="n">
        <v>5.7</v>
      </c>
      <c r="G7" s="3" t="n">
        <v>45.8</v>
      </c>
      <c r="H7" s="3" t="inlineStr">
        <is>
          <t>W003</t>
        </is>
      </c>
      <c r="I7" s="3" t="n">
        <v>1787</v>
      </c>
      <c r="J7" s="3" t="n">
        <v>48</v>
      </c>
      <c r="K7" s="4">
        <f>IF(I7=0,0,J7/I7)</f>
        <v/>
      </c>
    </row>
    <row r="8">
      <c r="A8" s="5" t="inlineStr">
        <is>
          <t>B2024006</t>
        </is>
      </c>
      <c r="B8" s="5" t="inlineStr">
        <is>
          <t>2024-01-28</t>
        </is>
      </c>
      <c r="C8" s="5" t="inlineStr">
        <is>
          <t>L-03</t>
        </is>
      </c>
      <c r="D8" s="5" t="inlineStr">
        <is>
          <t>PRD-B</t>
        </is>
      </c>
      <c r="E8" s="5" t="n">
        <v>184.3</v>
      </c>
      <c r="F8" s="5" t="n">
        <v>5.85</v>
      </c>
      <c r="G8" s="5" t="n">
        <v>56.1</v>
      </c>
      <c r="H8" s="5" t="inlineStr">
        <is>
          <t>W001</t>
        </is>
      </c>
      <c r="I8" s="5" t="n">
        <v>663</v>
      </c>
      <c r="J8" s="5" t="n">
        <v>24</v>
      </c>
      <c r="K8" s="6">
        <f>IF(I8=0,0,J8/I8)</f>
        <v/>
      </c>
    </row>
    <row r="9">
      <c r="A9" s="3" t="inlineStr">
        <is>
          <t>B2024007</t>
        </is>
      </c>
      <c r="B9" s="3" t="inlineStr">
        <is>
          <t>2024-02-23</t>
        </is>
      </c>
      <c r="C9" s="3" t="inlineStr">
        <is>
          <t>L-02</t>
        </is>
      </c>
      <c r="D9" s="3" t="inlineStr">
        <is>
          <t>PRD-C</t>
        </is>
      </c>
      <c r="E9" s="3" t="n">
        <v>170.5</v>
      </c>
      <c r="F9" s="3" t="n">
        <v>6.27</v>
      </c>
      <c r="G9" s="3" t="n">
        <v>59.9</v>
      </c>
      <c r="H9" s="3" t="inlineStr">
        <is>
          <t>W001</t>
        </is>
      </c>
      <c r="I9" s="3" t="n">
        <v>1872</v>
      </c>
      <c r="J9" s="3" t="n">
        <v>49</v>
      </c>
      <c r="K9" s="4">
        <f>IF(I9=0,0,J9/I9)</f>
        <v/>
      </c>
    </row>
    <row r="10">
      <c r="A10" s="5" t="inlineStr">
        <is>
          <t>B2024008</t>
        </is>
      </c>
      <c r="B10" s="5" t="inlineStr">
        <is>
          <t>2024-03-18</t>
        </is>
      </c>
      <c r="C10" s="5" t="inlineStr">
        <is>
          <t>L-03</t>
        </is>
      </c>
      <c r="D10" s="5" t="inlineStr">
        <is>
          <t>PRD-B</t>
        </is>
      </c>
      <c r="E10" s="5" t="n">
        <v>179.1</v>
      </c>
      <c r="F10" s="5" t="n">
        <v>5.92</v>
      </c>
      <c r="G10" s="5" t="n">
        <v>47.3</v>
      </c>
      <c r="H10" s="5" t="inlineStr">
        <is>
          <t>W002</t>
        </is>
      </c>
      <c r="I10" s="5" t="n">
        <v>1810</v>
      </c>
      <c r="J10" s="5" t="n">
        <v>56</v>
      </c>
      <c r="K10" s="6">
        <f>IF(I10=0,0,J10/I10)</f>
        <v/>
      </c>
    </row>
    <row r="11">
      <c r="A11" s="3" t="inlineStr">
        <is>
          <t>B2024009</t>
        </is>
      </c>
      <c r="B11" s="3" t="inlineStr">
        <is>
          <t>2024-02-09</t>
        </is>
      </c>
      <c r="C11" s="3" t="inlineStr">
        <is>
          <t>L-03</t>
        </is>
      </c>
      <c r="D11" s="3" t="inlineStr">
        <is>
          <t>PRD-C</t>
        </is>
      </c>
      <c r="E11" s="3" t="n">
        <v>192.6</v>
      </c>
      <c r="F11" s="3" t="n">
        <v>5.28</v>
      </c>
      <c r="G11" s="3" t="n">
        <v>55.3</v>
      </c>
      <c r="H11" s="3" t="inlineStr">
        <is>
          <t>W001</t>
        </is>
      </c>
      <c r="I11" s="3" t="n">
        <v>1146</v>
      </c>
      <c r="J11" s="3" t="n">
        <v>94</v>
      </c>
      <c r="K11" s="4">
        <f>IF(I11=0,0,J11/I11)</f>
        <v/>
      </c>
    </row>
    <row r="12">
      <c r="A12" s="5" t="inlineStr">
        <is>
          <t>B2024010</t>
        </is>
      </c>
      <c r="B12" s="5" t="inlineStr">
        <is>
          <t>2024-02-05</t>
        </is>
      </c>
      <c r="C12" s="5" t="inlineStr">
        <is>
          <t>L-01</t>
        </is>
      </c>
      <c r="D12" s="5" t="inlineStr">
        <is>
          <t>PRD-C</t>
        </is>
      </c>
      <c r="E12" s="5" t="n">
        <v>187.2</v>
      </c>
      <c r="F12" s="5" t="n">
        <v>6.57</v>
      </c>
      <c r="G12" s="5" t="n">
        <v>65.7</v>
      </c>
      <c r="H12" s="5" t="inlineStr">
        <is>
          <t>W002</t>
        </is>
      </c>
      <c r="I12" s="5" t="n">
        <v>792</v>
      </c>
      <c r="J12" s="5" t="n">
        <v>21</v>
      </c>
      <c r="K12" s="6">
        <f>IF(I12=0,0,J12/I12)</f>
        <v/>
      </c>
    </row>
    <row r="13">
      <c r="A13" s="3" t="inlineStr">
        <is>
          <t>B2024011</t>
        </is>
      </c>
      <c r="B13" s="3" t="inlineStr">
        <is>
          <t>2024-03-16</t>
        </is>
      </c>
      <c r="C13" s="3" t="inlineStr">
        <is>
          <t>L-03</t>
        </is>
      </c>
      <c r="D13" s="3" t="inlineStr">
        <is>
          <t>PRD-C</t>
        </is>
      </c>
      <c r="E13" s="3" t="n">
        <v>184.8</v>
      </c>
      <c r="F13" s="3" t="n">
        <v>5.47</v>
      </c>
      <c r="G13" s="3" t="n">
        <v>46.8</v>
      </c>
      <c r="H13" s="3" t="inlineStr">
        <is>
          <t>W001</t>
        </is>
      </c>
      <c r="I13" s="3" t="n">
        <v>783</v>
      </c>
      <c r="J13" s="3" t="n">
        <v>36</v>
      </c>
      <c r="K13" s="4">
        <f>IF(I13=0,0,J13/I13)</f>
        <v/>
      </c>
    </row>
    <row r="14">
      <c r="A14" s="5" t="inlineStr">
        <is>
          <t>B2024012</t>
        </is>
      </c>
      <c r="B14" s="5" t="inlineStr">
        <is>
          <t>2024-02-20</t>
        </is>
      </c>
      <c r="C14" s="5" t="inlineStr">
        <is>
          <t>L-01</t>
        </is>
      </c>
      <c r="D14" s="5" t="inlineStr">
        <is>
          <t>PRD-A</t>
        </is>
      </c>
      <c r="E14" s="5" t="n">
        <v>187.7</v>
      </c>
      <c r="F14" s="5" t="n">
        <v>6.24</v>
      </c>
      <c r="G14" s="5" t="n">
        <v>49.3</v>
      </c>
      <c r="H14" s="5" t="inlineStr">
        <is>
          <t>W004</t>
        </is>
      </c>
      <c r="I14" s="5" t="n">
        <v>1288</v>
      </c>
      <c r="J14" s="5" t="n">
        <v>13</v>
      </c>
      <c r="K14" s="6">
        <f>IF(I14=0,0,J14/I14)</f>
        <v/>
      </c>
    </row>
    <row r="15">
      <c r="A15" s="3" t="inlineStr">
        <is>
          <t>B2024013</t>
        </is>
      </c>
      <c r="B15" s="3" t="inlineStr">
        <is>
          <t>2024-03-25</t>
        </is>
      </c>
      <c r="C15" s="3" t="inlineStr">
        <is>
          <t>L-03</t>
        </is>
      </c>
      <c r="D15" s="3" t="inlineStr">
        <is>
          <t>PRD-C</t>
        </is>
      </c>
      <c r="E15" s="3" t="n">
        <v>200.6</v>
      </c>
      <c r="F15" s="3" t="n">
        <v>5.82</v>
      </c>
      <c r="G15" s="3" t="n">
        <v>70.90000000000001</v>
      </c>
      <c r="H15" s="3" t="inlineStr">
        <is>
          <t>W003</t>
        </is>
      </c>
      <c r="I15" s="3" t="n">
        <v>1896</v>
      </c>
      <c r="J15" s="3" t="n">
        <v>143</v>
      </c>
      <c r="K15" s="4">
        <f>IF(I15=0,0,J15/I15)</f>
        <v/>
      </c>
    </row>
    <row r="16">
      <c r="A16" s="5" t="inlineStr">
        <is>
          <t>B2024014</t>
        </is>
      </c>
      <c r="B16" s="5" t="inlineStr">
        <is>
          <t>2024-02-17</t>
        </is>
      </c>
      <c r="C16" s="5" t="inlineStr">
        <is>
          <t>L-03</t>
        </is>
      </c>
      <c r="D16" s="5" t="inlineStr">
        <is>
          <t>PRD-C</t>
        </is>
      </c>
      <c r="E16" s="5" t="n">
        <v>191.5</v>
      </c>
      <c r="F16" s="5" t="n">
        <v>6.34</v>
      </c>
      <c r="G16" s="5" t="n">
        <v>31.2</v>
      </c>
      <c r="H16" s="5" t="inlineStr">
        <is>
          <t>W002</t>
        </is>
      </c>
      <c r="I16" s="5" t="n">
        <v>1973</v>
      </c>
      <c r="J16" s="5" t="n">
        <v>129</v>
      </c>
      <c r="K16" s="6">
        <f>IF(I16=0,0,J16/I16)</f>
        <v/>
      </c>
    </row>
    <row r="17">
      <c r="A17" s="3" t="inlineStr">
        <is>
          <t>B2024015</t>
        </is>
      </c>
      <c r="B17" s="3" t="inlineStr">
        <is>
          <t>2024-02-25</t>
        </is>
      </c>
      <c r="C17" s="3" t="inlineStr">
        <is>
          <t>L-03</t>
        </is>
      </c>
      <c r="D17" s="3" t="inlineStr">
        <is>
          <t>PRD-A</t>
        </is>
      </c>
      <c r="E17" s="3" t="n">
        <v>189.6</v>
      </c>
      <c r="F17" s="3" t="n">
        <v>5.69</v>
      </c>
      <c r="G17" s="3" t="n">
        <v>46.2</v>
      </c>
      <c r="H17" s="3" t="inlineStr">
        <is>
          <t>W002</t>
        </is>
      </c>
      <c r="I17" s="3" t="n">
        <v>813</v>
      </c>
      <c r="J17" s="3" t="n">
        <v>17</v>
      </c>
      <c r="K17" s="4">
        <f>IF(I17=0,0,J17/I17)</f>
        <v/>
      </c>
    </row>
    <row r="18">
      <c r="A18" s="5" t="inlineStr">
        <is>
          <t>B2024016</t>
        </is>
      </c>
      <c r="B18" s="5" t="inlineStr">
        <is>
          <t>2024-01-02</t>
        </is>
      </c>
      <c r="C18" s="5" t="inlineStr">
        <is>
          <t>L-03</t>
        </is>
      </c>
      <c r="D18" s="5" t="inlineStr">
        <is>
          <t>PRD-A</t>
        </is>
      </c>
      <c r="E18" s="5" t="n">
        <v>177.5</v>
      </c>
      <c r="F18" s="5" t="n">
        <v>5.66</v>
      </c>
      <c r="G18" s="5" t="n">
        <v>62.2</v>
      </c>
      <c r="H18" s="5" t="inlineStr">
        <is>
          <t>W002</t>
        </is>
      </c>
      <c r="I18" s="5" t="n">
        <v>1129</v>
      </c>
      <c r="J18" s="5" t="n">
        <v>39</v>
      </c>
      <c r="K18" s="6">
        <f>IF(I18=0,0,J18/I18)</f>
        <v/>
      </c>
    </row>
    <row r="19">
      <c r="A19" s="3" t="inlineStr">
        <is>
          <t>B2024017</t>
        </is>
      </c>
      <c r="B19" s="3" t="inlineStr">
        <is>
          <t>2024-01-22</t>
        </is>
      </c>
      <c r="C19" s="3" t="inlineStr">
        <is>
          <t>L-03</t>
        </is>
      </c>
      <c r="D19" s="3" t="inlineStr">
        <is>
          <t>PRD-A</t>
        </is>
      </c>
      <c r="E19" s="3" t="n">
        <v>192.9</v>
      </c>
      <c r="F19" s="3" t="n">
        <v>6.3</v>
      </c>
      <c r="G19" s="3" t="n">
        <v>70.3</v>
      </c>
      <c r="H19" s="3" t="inlineStr">
        <is>
          <t>W004</t>
        </is>
      </c>
      <c r="I19" s="3" t="n">
        <v>757</v>
      </c>
      <c r="J19" s="3" t="n">
        <v>61</v>
      </c>
      <c r="K19" s="4">
        <f>IF(I19=0,0,J19/I19)</f>
        <v/>
      </c>
    </row>
    <row r="20">
      <c r="A20" s="5" t="inlineStr">
        <is>
          <t>B2024018</t>
        </is>
      </c>
      <c r="B20" s="5" t="inlineStr">
        <is>
          <t>2024-03-23</t>
        </is>
      </c>
      <c r="C20" s="5" t="inlineStr">
        <is>
          <t>L-03</t>
        </is>
      </c>
      <c r="D20" s="5" t="inlineStr">
        <is>
          <t>PRD-B</t>
        </is>
      </c>
      <c r="E20" s="5" t="n">
        <v>183.5</v>
      </c>
      <c r="F20" s="5" t="n">
        <v>7.01</v>
      </c>
      <c r="G20" s="5" t="n">
        <v>48.9</v>
      </c>
      <c r="H20" s="5" t="inlineStr">
        <is>
          <t>W002</t>
        </is>
      </c>
      <c r="I20" s="5" t="n">
        <v>1604</v>
      </c>
      <c r="J20" s="5" t="n">
        <v>52</v>
      </c>
      <c r="K20" s="6">
        <f>IF(I20=0,0,J20/I20)</f>
        <v/>
      </c>
    </row>
    <row r="21">
      <c r="A21" s="3" t="inlineStr">
        <is>
          <t>B2024019</t>
        </is>
      </c>
      <c r="B21" s="3" t="inlineStr">
        <is>
          <t>2024-01-08</t>
        </is>
      </c>
      <c r="C21" s="3" t="inlineStr">
        <is>
          <t>L-03</t>
        </is>
      </c>
      <c r="D21" s="3" t="inlineStr">
        <is>
          <t>PRD-C</t>
        </is>
      </c>
      <c r="E21" s="3" t="n">
        <v>175.4</v>
      </c>
      <c r="F21" s="3" t="n">
        <v>6.44</v>
      </c>
      <c r="G21" s="3" t="n">
        <v>40</v>
      </c>
      <c r="H21" s="3" t="inlineStr">
        <is>
          <t>W002</t>
        </is>
      </c>
      <c r="I21" s="3" t="n">
        <v>1424</v>
      </c>
      <c r="J21" s="3" t="n">
        <v>60</v>
      </c>
      <c r="K21" s="4">
        <f>IF(I21=0,0,J21/I21)</f>
        <v/>
      </c>
    </row>
    <row r="22">
      <c r="A22" s="5" t="inlineStr">
        <is>
          <t>B2024020</t>
        </is>
      </c>
      <c r="B22" s="5" t="inlineStr">
        <is>
          <t>2024-03-02</t>
        </is>
      </c>
      <c r="C22" s="5" t="inlineStr">
        <is>
          <t>L-01</t>
        </is>
      </c>
      <c r="D22" s="5" t="inlineStr">
        <is>
          <t>PRD-C</t>
        </is>
      </c>
      <c r="E22" s="5" t="n">
        <v>195.1</v>
      </c>
      <c r="F22" s="5" t="n">
        <v>6.08</v>
      </c>
      <c r="G22" s="5" t="n">
        <v>54</v>
      </c>
      <c r="H22" s="5" t="inlineStr">
        <is>
          <t>W002</t>
        </is>
      </c>
      <c r="I22" s="5" t="n">
        <v>1949</v>
      </c>
      <c r="J22" s="5" t="n">
        <v>96</v>
      </c>
      <c r="K22" s="6">
        <f>IF(I22=0,0,J22/I22)</f>
        <v/>
      </c>
    </row>
    <row r="23">
      <c r="A23" s="3" t="inlineStr">
        <is>
          <t>B2024021</t>
        </is>
      </c>
      <c r="B23" s="3" t="inlineStr">
        <is>
          <t>2024-03-05</t>
        </is>
      </c>
      <c r="C23" s="3" t="inlineStr">
        <is>
          <t>L-01</t>
        </is>
      </c>
      <c r="D23" s="3" t="inlineStr">
        <is>
          <t>PRD-A</t>
        </is>
      </c>
      <c r="E23" s="3" t="n">
        <v>186.9</v>
      </c>
      <c r="F23" s="3" t="n">
        <v>5.85</v>
      </c>
      <c r="G23" s="3" t="n">
        <v>56.1</v>
      </c>
      <c r="H23" s="3" t="inlineStr">
        <is>
          <t>W005</t>
        </is>
      </c>
      <c r="I23" s="3" t="n">
        <v>938</v>
      </c>
      <c r="J23" s="3" t="n">
        <v>29</v>
      </c>
      <c r="K23" s="4">
        <f>IF(I23=0,0,J23/I23)</f>
        <v/>
      </c>
    </row>
    <row r="24">
      <c r="A24" s="5" t="inlineStr">
        <is>
          <t>B2024022</t>
        </is>
      </c>
      <c r="B24" s="5" t="inlineStr">
        <is>
          <t>2024-02-12</t>
        </is>
      </c>
      <c r="C24" s="5" t="inlineStr">
        <is>
          <t>L-03</t>
        </is>
      </c>
      <c r="D24" s="5" t="inlineStr">
        <is>
          <t>PRD-D</t>
        </is>
      </c>
      <c r="E24" s="5" t="n">
        <v>185.4</v>
      </c>
      <c r="F24" s="5" t="n">
        <v>6.57</v>
      </c>
      <c r="G24" s="5" t="n">
        <v>51.3</v>
      </c>
      <c r="H24" s="5" t="inlineStr">
        <is>
          <t>W004</t>
        </is>
      </c>
      <c r="I24" s="5" t="n">
        <v>1849</v>
      </c>
      <c r="J24" s="5" t="n">
        <v>59</v>
      </c>
      <c r="K24" s="6">
        <f>IF(I24=0,0,J24/I24)</f>
        <v/>
      </c>
    </row>
    <row r="25">
      <c r="A25" s="3" t="inlineStr">
        <is>
          <t>B2024023</t>
        </is>
      </c>
      <c r="B25" s="3" t="inlineStr">
        <is>
          <t>2024-02-24</t>
        </is>
      </c>
      <c r="C25" s="3" t="inlineStr">
        <is>
          <t>L-02</t>
        </is>
      </c>
      <c r="D25" s="3" t="inlineStr">
        <is>
          <t>PRD-D</t>
        </is>
      </c>
      <c r="E25" s="3" t="n">
        <v>186.8</v>
      </c>
      <c r="F25" s="3" t="n">
        <v>5.87</v>
      </c>
      <c r="G25" s="3" t="n">
        <v>46.8</v>
      </c>
      <c r="H25" s="3" t="inlineStr">
        <is>
          <t>W003</t>
        </is>
      </c>
      <c r="I25" s="3" t="n">
        <v>624</v>
      </c>
      <c r="J25" s="3" t="n">
        <v>6</v>
      </c>
      <c r="K25" s="4">
        <f>IF(I25=0,0,J25/I25)</f>
        <v/>
      </c>
    </row>
    <row r="26">
      <c r="A26" s="5" t="inlineStr">
        <is>
          <t>B2024024</t>
        </is>
      </c>
      <c r="B26" s="5" t="inlineStr">
        <is>
          <t>2024-01-28</t>
        </is>
      </c>
      <c r="C26" s="5" t="inlineStr">
        <is>
          <t>L-01</t>
        </is>
      </c>
      <c r="D26" s="5" t="inlineStr">
        <is>
          <t>PRD-B</t>
        </is>
      </c>
      <c r="E26" s="5" t="n">
        <v>188.6</v>
      </c>
      <c r="F26" s="5" t="n">
        <v>6.58</v>
      </c>
      <c r="G26" s="5" t="n">
        <v>59.1</v>
      </c>
      <c r="H26" s="5" t="inlineStr">
        <is>
          <t>W001</t>
        </is>
      </c>
      <c r="I26" s="5" t="n">
        <v>1447</v>
      </c>
      <c r="J26" s="5" t="n">
        <v>34</v>
      </c>
      <c r="K26" s="6">
        <f>IF(I26=0,0,J26/I26)</f>
        <v/>
      </c>
    </row>
    <row r="27">
      <c r="A27" s="3" t="inlineStr">
        <is>
          <t>B2024025</t>
        </is>
      </c>
      <c r="B27" s="3" t="inlineStr">
        <is>
          <t>2024-01-14</t>
        </is>
      </c>
      <c r="C27" s="3" t="inlineStr">
        <is>
          <t>L-02</t>
        </is>
      </c>
      <c r="D27" s="3" t="inlineStr">
        <is>
          <t>PRD-A</t>
        </is>
      </c>
      <c r="E27" s="3" t="n">
        <v>213.9</v>
      </c>
      <c r="F27" s="3" t="n">
        <v>6.59</v>
      </c>
      <c r="G27" s="3" t="n">
        <v>68.59999999999999</v>
      </c>
      <c r="H27" s="3" t="inlineStr">
        <is>
          <t>W004</t>
        </is>
      </c>
      <c r="I27" s="3" t="n">
        <v>984</v>
      </c>
      <c r="J27" s="3" t="n">
        <v>46</v>
      </c>
      <c r="K27" s="4">
        <f>IF(I27=0,0,J27/I27)</f>
        <v/>
      </c>
    </row>
    <row r="28">
      <c r="A28" s="5" t="inlineStr">
        <is>
          <t>B2024026</t>
        </is>
      </c>
      <c r="B28" s="5" t="inlineStr">
        <is>
          <t>2024-02-26</t>
        </is>
      </c>
      <c r="C28" s="5" t="inlineStr">
        <is>
          <t>L-02</t>
        </is>
      </c>
      <c r="D28" s="5" t="inlineStr">
        <is>
          <t>PRD-B</t>
        </is>
      </c>
      <c r="E28" s="5" t="n">
        <v>196.4</v>
      </c>
      <c r="F28" s="5" t="n">
        <v>5.19</v>
      </c>
      <c r="G28" s="5" t="n">
        <v>55.3</v>
      </c>
      <c r="H28" s="5" t="inlineStr">
        <is>
          <t>W004</t>
        </is>
      </c>
      <c r="I28" s="5" t="n">
        <v>1299</v>
      </c>
      <c r="J28" s="5" t="n">
        <v>91</v>
      </c>
      <c r="K28" s="6">
        <f>IF(I28=0,0,J28/I28)</f>
        <v/>
      </c>
    </row>
    <row r="29">
      <c r="A29" s="3" t="inlineStr">
        <is>
          <t>B2024027</t>
        </is>
      </c>
      <c r="B29" s="3" t="inlineStr">
        <is>
          <t>2024-01-07</t>
        </is>
      </c>
      <c r="C29" s="3" t="inlineStr">
        <is>
          <t>L-02</t>
        </is>
      </c>
      <c r="D29" s="3" t="inlineStr">
        <is>
          <t>PRD-D</t>
        </is>
      </c>
      <c r="E29" s="3" t="n">
        <v>180.7</v>
      </c>
      <c r="F29" s="3" t="n">
        <v>5.24</v>
      </c>
      <c r="G29" s="3" t="n">
        <v>58.1</v>
      </c>
      <c r="H29" s="3" t="inlineStr">
        <is>
          <t>W003</t>
        </is>
      </c>
      <c r="I29" s="3" t="n">
        <v>1496</v>
      </c>
      <c r="J29" s="3" t="n">
        <v>42</v>
      </c>
      <c r="K29" s="4">
        <f>IF(I29=0,0,J29/I29)</f>
        <v/>
      </c>
    </row>
    <row r="30">
      <c r="A30" s="5" t="inlineStr">
        <is>
          <t>B2024028</t>
        </is>
      </c>
      <c r="B30" s="5" t="inlineStr">
        <is>
          <t>2024-02-17</t>
        </is>
      </c>
      <c r="C30" s="5" t="inlineStr">
        <is>
          <t>L-01</t>
        </is>
      </c>
      <c r="D30" s="5" t="inlineStr">
        <is>
          <t>PRD-A</t>
        </is>
      </c>
      <c r="E30" s="5" t="n">
        <v>176.2</v>
      </c>
      <c r="F30" s="5" t="n">
        <v>5.7</v>
      </c>
      <c r="G30" s="5" t="n">
        <v>55</v>
      </c>
      <c r="H30" s="5" t="inlineStr">
        <is>
          <t>W005</t>
        </is>
      </c>
      <c r="I30" s="5" t="n">
        <v>1696</v>
      </c>
      <c r="J30" s="5" t="n">
        <v>29</v>
      </c>
      <c r="K30" s="6">
        <f>IF(I30=0,0,J30/I30)</f>
        <v/>
      </c>
    </row>
    <row r="31">
      <c r="A31" s="3" t="inlineStr">
        <is>
          <t>B2024029</t>
        </is>
      </c>
      <c r="B31" s="3" t="inlineStr">
        <is>
          <t>2024-01-13</t>
        </is>
      </c>
      <c r="C31" s="3" t="inlineStr">
        <is>
          <t>L-01</t>
        </is>
      </c>
      <c r="D31" s="3" t="inlineStr">
        <is>
          <t>PRD-A</t>
        </is>
      </c>
      <c r="E31" s="3" t="n">
        <v>188.2</v>
      </c>
      <c r="F31" s="3" t="n">
        <v>5.95</v>
      </c>
      <c r="G31" s="3" t="n">
        <v>60.3</v>
      </c>
      <c r="H31" s="3" t="inlineStr">
        <is>
          <t>W001</t>
        </is>
      </c>
      <c r="I31" s="3" t="n">
        <v>1882</v>
      </c>
      <c r="J31" s="3" t="n">
        <v>56</v>
      </c>
      <c r="K31" s="4">
        <f>IF(I31=0,0,J31/I31)</f>
        <v/>
      </c>
    </row>
    <row r="32">
      <c r="A32" s="5" t="inlineStr">
        <is>
          <t>B2024030</t>
        </is>
      </c>
      <c r="B32" s="5" t="inlineStr">
        <is>
          <t>2024-03-11</t>
        </is>
      </c>
      <c r="C32" s="5" t="inlineStr">
        <is>
          <t>L-03</t>
        </is>
      </c>
      <c r="D32" s="5" t="inlineStr">
        <is>
          <t>PRD-B</t>
        </is>
      </c>
      <c r="E32" s="5" t="n">
        <v>183</v>
      </c>
      <c r="F32" s="5" t="n">
        <v>5.93</v>
      </c>
      <c r="G32" s="5" t="n">
        <v>67.7</v>
      </c>
      <c r="H32" s="5" t="inlineStr">
        <is>
          <t>W003</t>
        </is>
      </c>
      <c r="I32" s="5" t="n">
        <v>1657</v>
      </c>
      <c r="J32" s="5" t="n">
        <v>84</v>
      </c>
      <c r="K32" s="6">
        <f>IF(I32=0,0,J32/I32)</f>
        <v/>
      </c>
    </row>
    <row r="33">
      <c r="A33" s="3" t="inlineStr">
        <is>
          <t>B2024031</t>
        </is>
      </c>
      <c r="B33" s="3" t="inlineStr">
        <is>
          <t>2024-01-01</t>
        </is>
      </c>
      <c r="C33" s="3" t="inlineStr">
        <is>
          <t>L-01</t>
        </is>
      </c>
      <c r="D33" s="3" t="inlineStr">
        <is>
          <t>PRD-C</t>
        </is>
      </c>
      <c r="E33" s="3" t="n">
        <v>185.6</v>
      </c>
      <c r="F33" s="3" t="n">
        <v>6.5</v>
      </c>
      <c r="G33" s="3" t="n">
        <v>51</v>
      </c>
      <c r="H33" s="3" t="inlineStr">
        <is>
          <t>W004</t>
        </is>
      </c>
      <c r="I33" s="3" t="n">
        <v>1147</v>
      </c>
      <c r="J33" s="3" t="n">
        <v>16</v>
      </c>
      <c r="K33" s="4">
        <f>IF(I33=0,0,J33/I33)</f>
        <v/>
      </c>
    </row>
    <row r="34">
      <c r="A34" s="5" t="inlineStr">
        <is>
          <t>B2024032</t>
        </is>
      </c>
      <c r="B34" s="5" t="inlineStr">
        <is>
          <t>2024-01-12</t>
        </is>
      </c>
      <c r="C34" s="5" t="inlineStr">
        <is>
          <t>L-03</t>
        </is>
      </c>
      <c r="D34" s="5" t="inlineStr">
        <is>
          <t>PRD-A</t>
        </is>
      </c>
      <c r="E34" s="5" t="n">
        <v>190</v>
      </c>
      <c r="F34" s="5" t="n">
        <v>6.15</v>
      </c>
      <c r="G34" s="5" t="n">
        <v>52.8</v>
      </c>
      <c r="H34" s="5" t="inlineStr">
        <is>
          <t>W003</t>
        </is>
      </c>
      <c r="I34" s="5" t="n">
        <v>640</v>
      </c>
      <c r="J34" s="5" t="n">
        <v>31</v>
      </c>
      <c r="K34" s="6">
        <f>IF(I34=0,0,J34/I34)</f>
        <v/>
      </c>
    </row>
    <row r="35">
      <c r="A35" s="3" t="inlineStr">
        <is>
          <t>B2024033</t>
        </is>
      </c>
      <c r="B35" s="3" t="inlineStr">
        <is>
          <t>2024-03-01</t>
        </is>
      </c>
      <c r="C35" s="3" t="inlineStr">
        <is>
          <t>L-01</t>
        </is>
      </c>
      <c r="D35" s="3" t="inlineStr">
        <is>
          <t>PRD-D</t>
        </is>
      </c>
      <c r="E35" s="3" t="n">
        <v>191.3</v>
      </c>
      <c r="F35" s="3" t="n">
        <v>5.33</v>
      </c>
      <c r="G35" s="3" t="n">
        <v>32.4</v>
      </c>
      <c r="H35" s="3" t="inlineStr">
        <is>
          <t>W005</t>
        </is>
      </c>
      <c r="I35" s="3" t="n">
        <v>1839</v>
      </c>
      <c r="J35" s="3" t="n">
        <v>100</v>
      </c>
      <c r="K35" s="4">
        <f>IF(I35=0,0,J35/I35)</f>
        <v/>
      </c>
    </row>
    <row r="36">
      <c r="A36" s="5" t="inlineStr">
        <is>
          <t>B2024034</t>
        </is>
      </c>
      <c r="B36" s="5" t="inlineStr">
        <is>
          <t>2024-01-09</t>
        </is>
      </c>
      <c r="C36" s="5" t="inlineStr">
        <is>
          <t>L-02</t>
        </is>
      </c>
      <c r="D36" s="5" t="inlineStr">
        <is>
          <t>PRD-A</t>
        </is>
      </c>
      <c r="E36" s="5" t="n">
        <v>189</v>
      </c>
      <c r="F36" s="5" t="n">
        <v>5.9</v>
      </c>
      <c r="G36" s="5" t="n">
        <v>58.6</v>
      </c>
      <c r="H36" s="5" t="inlineStr">
        <is>
          <t>W003</t>
        </is>
      </c>
      <c r="I36" s="5" t="n">
        <v>1633</v>
      </c>
      <c r="J36" s="5" t="n">
        <v>36</v>
      </c>
      <c r="K36" s="6">
        <f>IF(I36=0,0,J36/I36)</f>
        <v/>
      </c>
    </row>
    <row r="37">
      <c r="A37" s="3" t="inlineStr">
        <is>
          <t>B2024035</t>
        </is>
      </c>
      <c r="B37" s="3" t="inlineStr">
        <is>
          <t>2024-02-28</t>
        </is>
      </c>
      <c r="C37" s="3" t="inlineStr">
        <is>
          <t>L-03</t>
        </is>
      </c>
      <c r="D37" s="3" t="inlineStr">
        <is>
          <t>PRD-B</t>
        </is>
      </c>
      <c r="E37" s="3" t="n">
        <v>183.9</v>
      </c>
      <c r="F37" s="3" t="n">
        <v>5.67</v>
      </c>
      <c r="G37" s="3" t="n">
        <v>49.8</v>
      </c>
      <c r="H37" s="3" t="inlineStr">
        <is>
          <t>W001</t>
        </is>
      </c>
      <c r="I37" s="3" t="n">
        <v>1500</v>
      </c>
      <c r="J37" s="3" t="n">
        <v>37</v>
      </c>
      <c r="K37" s="4">
        <f>IF(I37=0,0,J37/I37)</f>
        <v/>
      </c>
    </row>
    <row r="38">
      <c r="A38" s="5" t="inlineStr">
        <is>
          <t>B2024036</t>
        </is>
      </c>
      <c r="B38" s="5" t="inlineStr">
        <is>
          <t>2024-01-24</t>
        </is>
      </c>
      <c r="C38" s="5" t="inlineStr">
        <is>
          <t>L-01</t>
        </is>
      </c>
      <c r="D38" s="5" t="inlineStr">
        <is>
          <t>PRD-D</t>
        </is>
      </c>
      <c r="E38" s="5" t="n">
        <v>186.1</v>
      </c>
      <c r="F38" s="5" t="n">
        <v>5.87</v>
      </c>
      <c r="G38" s="5" t="n">
        <v>52.3</v>
      </c>
      <c r="H38" s="5" t="inlineStr">
        <is>
          <t>W004</t>
        </is>
      </c>
      <c r="I38" s="5" t="n">
        <v>1036</v>
      </c>
      <c r="J38" s="5" t="n">
        <v>24</v>
      </c>
      <c r="K38" s="6">
        <f>IF(I38=0,0,J38/I38)</f>
        <v/>
      </c>
    </row>
    <row r="39">
      <c r="A39" s="3" t="inlineStr">
        <is>
          <t>B2024037</t>
        </is>
      </c>
      <c r="B39" s="3" t="inlineStr">
        <is>
          <t>2024-03-02</t>
        </is>
      </c>
      <c r="C39" s="3" t="inlineStr">
        <is>
          <t>L-03</t>
        </is>
      </c>
      <c r="D39" s="3" t="inlineStr">
        <is>
          <t>PRD-D</t>
        </is>
      </c>
      <c r="E39" s="3" t="n">
        <v>181.4</v>
      </c>
      <c r="F39" s="3" t="n">
        <v>5.91</v>
      </c>
      <c r="G39" s="3" t="n">
        <v>69.40000000000001</v>
      </c>
      <c r="H39" s="3" t="inlineStr">
        <is>
          <t>W003</t>
        </is>
      </c>
      <c r="I39" s="3" t="n">
        <v>805</v>
      </c>
      <c r="J39" s="3" t="n">
        <v>32</v>
      </c>
      <c r="K39" s="4">
        <f>IF(I39=0,0,J39/I39)</f>
        <v/>
      </c>
    </row>
    <row r="40">
      <c r="A40" s="5" t="inlineStr">
        <is>
          <t>B2024038</t>
        </is>
      </c>
      <c r="B40" s="5" t="inlineStr">
        <is>
          <t>2024-02-07</t>
        </is>
      </c>
      <c r="C40" s="5" t="inlineStr">
        <is>
          <t>L-03</t>
        </is>
      </c>
      <c r="D40" s="5" t="inlineStr">
        <is>
          <t>PRD-B</t>
        </is>
      </c>
      <c r="E40" s="5" t="n">
        <v>182.9</v>
      </c>
      <c r="F40" s="5" t="n">
        <v>6.06</v>
      </c>
      <c r="G40" s="5" t="n">
        <v>39.7</v>
      </c>
      <c r="H40" s="5" t="inlineStr">
        <is>
          <t>W002</t>
        </is>
      </c>
      <c r="I40" s="5" t="n">
        <v>581</v>
      </c>
      <c r="J40" s="5" t="n">
        <v>25</v>
      </c>
      <c r="K40" s="6">
        <f>IF(I40=0,0,J40/I40)</f>
        <v/>
      </c>
    </row>
    <row r="41">
      <c r="A41" s="3" t="inlineStr">
        <is>
          <t>B2024039</t>
        </is>
      </c>
      <c r="B41" s="3" t="inlineStr">
        <is>
          <t>2024-01-28</t>
        </is>
      </c>
      <c r="C41" s="3" t="inlineStr">
        <is>
          <t>L-03</t>
        </is>
      </c>
      <c r="D41" s="3" t="inlineStr">
        <is>
          <t>PRD-A</t>
        </is>
      </c>
      <c r="E41" s="3" t="n">
        <v>178.8</v>
      </c>
      <c r="F41" s="3" t="n">
        <v>6.51</v>
      </c>
      <c r="G41" s="3" t="n">
        <v>74.09999999999999</v>
      </c>
      <c r="H41" s="3" t="inlineStr">
        <is>
          <t>W002</t>
        </is>
      </c>
      <c r="I41" s="3" t="n">
        <v>816</v>
      </c>
      <c r="J41" s="3" t="n">
        <v>24</v>
      </c>
      <c r="K41" s="4">
        <f>IF(I41=0,0,J41/I41)</f>
        <v/>
      </c>
    </row>
    <row r="42">
      <c r="A42" s="5" t="inlineStr">
        <is>
          <t>B2024040</t>
        </is>
      </c>
      <c r="B42" s="5" t="inlineStr">
        <is>
          <t>2024-03-26</t>
        </is>
      </c>
      <c r="C42" s="5" t="inlineStr">
        <is>
          <t>L-01</t>
        </is>
      </c>
      <c r="D42" s="5" t="inlineStr">
        <is>
          <t>PRD-D</t>
        </is>
      </c>
      <c r="E42" s="5" t="n">
        <v>197.9</v>
      </c>
      <c r="F42" s="5" t="n">
        <v>6.13</v>
      </c>
      <c r="G42" s="5" t="n">
        <v>43.6</v>
      </c>
      <c r="H42" s="5" t="inlineStr">
        <is>
          <t>W002</t>
        </is>
      </c>
      <c r="I42" s="5" t="n">
        <v>1871</v>
      </c>
      <c r="J42" s="5" t="n">
        <v>123</v>
      </c>
      <c r="K42" s="6">
        <f>IF(I42=0,0,J42/I42)</f>
        <v/>
      </c>
    </row>
    <row r="43">
      <c r="A43" s="3" t="inlineStr">
        <is>
          <t>B2024041</t>
        </is>
      </c>
      <c r="B43" s="3" t="inlineStr">
        <is>
          <t>2024-01-27</t>
        </is>
      </c>
      <c r="C43" s="3" t="inlineStr">
        <is>
          <t>L-02</t>
        </is>
      </c>
      <c r="D43" s="3" t="inlineStr">
        <is>
          <t>PRD-B</t>
        </is>
      </c>
      <c r="E43" s="3" t="n">
        <v>185.9</v>
      </c>
      <c r="F43" s="3" t="n">
        <v>5.77</v>
      </c>
      <c r="G43" s="3" t="n">
        <v>68.7</v>
      </c>
      <c r="H43" s="3" t="inlineStr">
        <is>
          <t>W004</t>
        </is>
      </c>
      <c r="I43" s="3" t="n">
        <v>955</v>
      </c>
      <c r="J43" s="3" t="n">
        <v>22</v>
      </c>
      <c r="K43" s="4">
        <f>IF(I43=0,0,J43/I43)</f>
        <v/>
      </c>
    </row>
    <row r="44">
      <c r="A44" s="5" t="inlineStr">
        <is>
          <t>B2024042</t>
        </is>
      </c>
      <c r="B44" s="5" t="inlineStr">
        <is>
          <t>2024-02-09</t>
        </is>
      </c>
      <c r="C44" s="5" t="inlineStr">
        <is>
          <t>L-02</t>
        </is>
      </c>
      <c r="D44" s="5" t="inlineStr">
        <is>
          <t>PRD-C</t>
        </is>
      </c>
      <c r="E44" s="5" t="n">
        <v>191.9</v>
      </c>
      <c r="F44" s="5" t="n">
        <v>5.09</v>
      </c>
      <c r="G44" s="5" t="n">
        <v>57.5</v>
      </c>
      <c r="H44" s="5" t="inlineStr">
        <is>
          <t>W001</t>
        </is>
      </c>
      <c r="I44" s="5" t="n">
        <v>1316</v>
      </c>
      <c r="J44" s="5" t="n">
        <v>107</v>
      </c>
      <c r="K44" s="6">
        <f>IF(I44=0,0,J44/I44)</f>
        <v/>
      </c>
    </row>
    <row r="45">
      <c r="A45" s="3" t="inlineStr">
        <is>
          <t>B2024043</t>
        </is>
      </c>
      <c r="B45" s="3" t="inlineStr">
        <is>
          <t>2024-01-09</t>
        </is>
      </c>
      <c r="C45" s="3" t="inlineStr">
        <is>
          <t>L-02</t>
        </is>
      </c>
      <c r="D45" s="3" t="inlineStr">
        <is>
          <t>PRD-C</t>
        </is>
      </c>
      <c r="E45" s="3" t="n">
        <v>179.9</v>
      </c>
      <c r="F45" s="3" t="n">
        <v>5.61</v>
      </c>
      <c r="G45" s="3" t="n">
        <v>67.3</v>
      </c>
      <c r="H45" s="3" t="inlineStr">
        <is>
          <t>W002</t>
        </is>
      </c>
      <c r="I45" s="3" t="n">
        <v>556</v>
      </c>
      <c r="J45" s="3" t="n">
        <v>18</v>
      </c>
      <c r="K45" s="4">
        <f>IF(I45=0,0,J45/I45)</f>
        <v/>
      </c>
    </row>
    <row r="46">
      <c r="A46" s="5" t="inlineStr">
        <is>
          <t>B2024044</t>
        </is>
      </c>
      <c r="B46" s="5" t="inlineStr">
        <is>
          <t>2024-03-17</t>
        </is>
      </c>
      <c r="C46" s="5" t="inlineStr">
        <is>
          <t>L-03</t>
        </is>
      </c>
      <c r="D46" s="5" t="inlineStr">
        <is>
          <t>PRD-C</t>
        </is>
      </c>
      <c r="E46" s="5" t="n">
        <v>195.5</v>
      </c>
      <c r="F46" s="5" t="n">
        <v>6.16</v>
      </c>
      <c r="G46" s="5" t="n">
        <v>45.1</v>
      </c>
      <c r="H46" s="5" t="inlineStr">
        <is>
          <t>W001</t>
        </is>
      </c>
      <c r="I46" s="5" t="n">
        <v>1393</v>
      </c>
      <c r="J46" s="5" t="n">
        <v>99</v>
      </c>
      <c r="K46" s="6">
        <f>IF(I46=0,0,J46/I46)</f>
        <v/>
      </c>
    </row>
    <row r="47">
      <c r="A47" s="3" t="inlineStr">
        <is>
          <t>B2024045</t>
        </is>
      </c>
      <c r="B47" s="3" t="inlineStr">
        <is>
          <t>2024-03-24</t>
        </is>
      </c>
      <c r="C47" s="3" t="inlineStr">
        <is>
          <t>L-02</t>
        </is>
      </c>
      <c r="D47" s="3" t="inlineStr">
        <is>
          <t>PRD-B</t>
        </is>
      </c>
      <c r="E47" s="3" t="n">
        <v>184.6</v>
      </c>
      <c r="F47" s="3" t="n">
        <v>6.79</v>
      </c>
      <c r="G47" s="3" t="n">
        <v>77.8</v>
      </c>
      <c r="H47" s="3" t="inlineStr">
        <is>
          <t>W002</t>
        </is>
      </c>
      <c r="I47" s="3" t="n">
        <v>1602</v>
      </c>
      <c r="J47" s="3" t="n">
        <v>56</v>
      </c>
      <c r="K47" s="4">
        <f>IF(I47=0,0,J47/I47)</f>
        <v/>
      </c>
    </row>
    <row r="48">
      <c r="A48" s="5" t="inlineStr">
        <is>
          <t>B2024046</t>
        </is>
      </c>
      <c r="B48" s="5" t="inlineStr">
        <is>
          <t>2024-03-10</t>
        </is>
      </c>
      <c r="C48" s="5" t="inlineStr">
        <is>
          <t>L-02</t>
        </is>
      </c>
      <c r="D48" s="5" t="inlineStr">
        <is>
          <t>PRD-D</t>
        </is>
      </c>
      <c r="E48" s="5" t="n">
        <v>195.7</v>
      </c>
      <c r="F48" s="5" t="n">
        <v>6.31</v>
      </c>
      <c r="G48" s="5" t="n">
        <v>50.8</v>
      </c>
      <c r="H48" s="5" t="inlineStr">
        <is>
          <t>W005</t>
        </is>
      </c>
      <c r="I48" s="5" t="n">
        <v>755</v>
      </c>
      <c r="J48" s="5" t="n">
        <v>42</v>
      </c>
      <c r="K48" s="6">
        <f>IF(I48=0,0,J48/I48)</f>
        <v/>
      </c>
    </row>
    <row r="49">
      <c r="A49" s="3" t="inlineStr">
        <is>
          <t>B2024047</t>
        </is>
      </c>
      <c r="B49" s="3" t="inlineStr">
        <is>
          <t>2024-02-22</t>
        </is>
      </c>
      <c r="C49" s="3" t="inlineStr">
        <is>
          <t>L-02</t>
        </is>
      </c>
      <c r="D49" s="3" t="inlineStr">
        <is>
          <t>PRD-D</t>
        </is>
      </c>
      <c r="E49" s="3" t="n">
        <v>179.3</v>
      </c>
      <c r="F49" s="3" t="n">
        <v>6.69</v>
      </c>
      <c r="G49" s="3" t="n">
        <v>48.9</v>
      </c>
      <c r="H49" s="3" t="inlineStr">
        <is>
          <t>W002</t>
        </is>
      </c>
      <c r="I49" s="3" t="n">
        <v>1861</v>
      </c>
      <c r="J49" s="3" t="n">
        <v>33</v>
      </c>
      <c r="K49" s="4">
        <f>IF(I49=0,0,J49/I49)</f>
        <v/>
      </c>
    </row>
    <row r="50">
      <c r="A50" s="5" t="inlineStr">
        <is>
          <t>B2024048</t>
        </is>
      </c>
      <c r="B50" s="5" t="inlineStr">
        <is>
          <t>2024-03-21</t>
        </is>
      </c>
      <c r="C50" s="5" t="inlineStr">
        <is>
          <t>L-03</t>
        </is>
      </c>
      <c r="D50" s="5" t="inlineStr">
        <is>
          <t>PRD-C</t>
        </is>
      </c>
      <c r="E50" s="5" t="n">
        <v>172.4</v>
      </c>
      <c r="F50" s="5" t="n">
        <v>6.53</v>
      </c>
      <c r="G50" s="5" t="n">
        <v>52.7</v>
      </c>
      <c r="H50" s="5" t="inlineStr">
        <is>
          <t>W003</t>
        </is>
      </c>
      <c r="I50" s="5" t="n">
        <v>1687</v>
      </c>
      <c r="J50" s="5" t="n">
        <v>59</v>
      </c>
      <c r="K50" s="6">
        <f>IF(I50=0,0,J50/I50)</f>
        <v/>
      </c>
    </row>
    <row r="51">
      <c r="A51" s="3" t="inlineStr">
        <is>
          <t>B2024049</t>
        </is>
      </c>
      <c r="B51" s="3" t="inlineStr">
        <is>
          <t>2024-03-03</t>
        </is>
      </c>
      <c r="C51" s="3" t="inlineStr">
        <is>
          <t>L-02</t>
        </is>
      </c>
      <c r="D51" s="3" t="inlineStr">
        <is>
          <t>PRD-D</t>
        </is>
      </c>
      <c r="E51" s="3" t="n">
        <v>179.8</v>
      </c>
      <c r="F51" s="3" t="n">
        <v>6.12</v>
      </c>
      <c r="G51" s="3" t="n">
        <v>33.8</v>
      </c>
      <c r="H51" s="3" t="inlineStr">
        <is>
          <t>W003</t>
        </is>
      </c>
      <c r="I51" s="3" t="n">
        <v>847</v>
      </c>
      <c r="J51" s="3" t="n">
        <v>19</v>
      </c>
      <c r="K51" s="4">
        <f>IF(I51=0,0,J51/I51)</f>
        <v/>
      </c>
    </row>
    <row r="52">
      <c r="A52" s="5" t="inlineStr">
        <is>
          <t>B2024050</t>
        </is>
      </c>
      <c r="B52" s="5" t="inlineStr">
        <is>
          <t>2024-01-01</t>
        </is>
      </c>
      <c r="C52" s="5" t="inlineStr">
        <is>
          <t>L-03</t>
        </is>
      </c>
      <c r="D52" s="5" t="inlineStr">
        <is>
          <t>PRD-C</t>
        </is>
      </c>
      <c r="E52" s="5" t="n">
        <v>201.4</v>
      </c>
      <c r="F52" s="5" t="n">
        <v>6.68</v>
      </c>
      <c r="G52" s="5" t="n">
        <v>55.8</v>
      </c>
      <c r="H52" s="5" t="inlineStr">
        <is>
          <t>W001</t>
        </is>
      </c>
      <c r="I52" s="5" t="n">
        <v>907</v>
      </c>
      <c r="J52" s="5" t="n">
        <v>60</v>
      </c>
      <c r="K52" s="6">
        <f>IF(I52=0,0,J52/I52)</f>
        <v/>
      </c>
    </row>
    <row r="53">
      <c r="A53" s="3" t="inlineStr">
        <is>
          <t>B2024051</t>
        </is>
      </c>
      <c r="B53" s="3" t="inlineStr">
        <is>
          <t>2024-01-23</t>
        </is>
      </c>
      <c r="C53" s="3" t="inlineStr">
        <is>
          <t>L-01</t>
        </is>
      </c>
      <c r="D53" s="3" t="inlineStr">
        <is>
          <t>PRD-D</t>
        </is>
      </c>
      <c r="E53" s="3" t="n">
        <v>174.5</v>
      </c>
      <c r="F53" s="3" t="n">
        <v>5.45</v>
      </c>
      <c r="G53" s="3" t="n">
        <v>35</v>
      </c>
      <c r="H53" s="3" t="inlineStr">
        <is>
          <t>W004</t>
        </is>
      </c>
      <c r="I53" s="3" t="n">
        <v>1678</v>
      </c>
      <c r="J53" s="3" t="n">
        <v>74</v>
      </c>
      <c r="K53" s="4">
        <f>IF(I53=0,0,J53/I53)</f>
        <v/>
      </c>
    </row>
    <row r="54">
      <c r="A54" s="5" t="inlineStr">
        <is>
          <t>B2024052</t>
        </is>
      </c>
      <c r="B54" s="5" t="inlineStr">
        <is>
          <t>2024-02-08</t>
        </is>
      </c>
      <c r="C54" s="5" t="inlineStr">
        <is>
          <t>L-02</t>
        </is>
      </c>
      <c r="D54" s="5" t="inlineStr">
        <is>
          <t>PRD-D</t>
        </is>
      </c>
      <c r="E54" s="5" t="n">
        <v>185.4</v>
      </c>
      <c r="F54" s="5" t="n">
        <v>6.73</v>
      </c>
      <c r="G54" s="5" t="n">
        <v>71.7</v>
      </c>
      <c r="H54" s="5" t="inlineStr">
        <is>
          <t>W002</t>
        </is>
      </c>
      <c r="I54" s="5" t="n">
        <v>718</v>
      </c>
      <c r="J54" s="5" t="n">
        <v>25</v>
      </c>
      <c r="K54" s="6">
        <f>IF(I54=0,0,J54/I54)</f>
        <v/>
      </c>
    </row>
    <row r="55">
      <c r="A55" s="3" t="inlineStr">
        <is>
          <t>B2024053</t>
        </is>
      </c>
      <c r="B55" s="3" t="inlineStr">
        <is>
          <t>2024-03-17</t>
        </is>
      </c>
      <c r="C55" s="3" t="inlineStr">
        <is>
          <t>L-03</t>
        </is>
      </c>
      <c r="D55" s="3" t="inlineStr">
        <is>
          <t>PRD-D</t>
        </is>
      </c>
      <c r="E55" s="3" t="n">
        <v>190.8</v>
      </c>
      <c r="F55" s="3" t="n">
        <v>6.12</v>
      </c>
      <c r="G55" s="3" t="n">
        <v>61.4</v>
      </c>
      <c r="H55" s="3" t="inlineStr">
        <is>
          <t>W005</t>
        </is>
      </c>
      <c r="I55" s="3" t="n">
        <v>1451</v>
      </c>
      <c r="J55" s="3" t="n">
        <v>76</v>
      </c>
      <c r="K55" s="4">
        <f>IF(I55=0,0,J55/I55)</f>
        <v/>
      </c>
    </row>
    <row r="56">
      <c r="A56" s="5" t="inlineStr">
        <is>
          <t>B2024054</t>
        </is>
      </c>
      <c r="B56" s="5" t="inlineStr">
        <is>
          <t>2024-02-27</t>
        </is>
      </c>
      <c r="C56" s="5" t="inlineStr">
        <is>
          <t>L-03</t>
        </is>
      </c>
      <c r="D56" s="5" t="inlineStr">
        <is>
          <t>PRD-C</t>
        </is>
      </c>
      <c r="E56" s="5" t="n">
        <v>201</v>
      </c>
      <c r="F56" s="5" t="n">
        <v>5.67</v>
      </c>
      <c r="G56" s="5" t="n">
        <v>42.9</v>
      </c>
      <c r="H56" s="5" t="inlineStr">
        <is>
          <t>W005</t>
        </is>
      </c>
      <c r="I56" s="5" t="n">
        <v>1533</v>
      </c>
      <c r="J56" s="5" t="n">
        <v>79</v>
      </c>
      <c r="K56" s="6">
        <f>IF(I56=0,0,J56/I56)</f>
        <v/>
      </c>
    </row>
    <row r="57">
      <c r="A57" s="3" t="inlineStr">
        <is>
          <t>B2024055</t>
        </is>
      </c>
      <c r="B57" s="3" t="inlineStr">
        <is>
          <t>2024-02-25</t>
        </is>
      </c>
      <c r="C57" s="3" t="inlineStr">
        <is>
          <t>L-02</t>
        </is>
      </c>
      <c r="D57" s="3" t="inlineStr">
        <is>
          <t>PRD-B</t>
        </is>
      </c>
      <c r="E57" s="3" t="n">
        <v>184.6</v>
      </c>
      <c r="F57" s="3" t="n">
        <v>5.43</v>
      </c>
      <c r="G57" s="3" t="n">
        <v>54.6</v>
      </c>
      <c r="H57" s="3" t="inlineStr">
        <is>
          <t>W005</t>
        </is>
      </c>
      <c r="I57" s="3" t="n">
        <v>1805</v>
      </c>
      <c r="J57" s="3" t="n">
        <v>83</v>
      </c>
      <c r="K57" s="4">
        <f>IF(I57=0,0,J57/I57)</f>
        <v/>
      </c>
    </row>
    <row r="58">
      <c r="A58" s="5" t="inlineStr">
        <is>
          <t>B2024056</t>
        </is>
      </c>
      <c r="B58" s="5" t="inlineStr">
        <is>
          <t>2024-03-03</t>
        </is>
      </c>
      <c r="C58" s="5" t="inlineStr">
        <is>
          <t>L-02</t>
        </is>
      </c>
      <c r="D58" s="5" t="inlineStr">
        <is>
          <t>PRD-B</t>
        </is>
      </c>
      <c r="E58" s="5" t="n">
        <v>184.5</v>
      </c>
      <c r="F58" s="5" t="n">
        <v>6.2</v>
      </c>
      <c r="G58" s="5" t="n">
        <v>53.2</v>
      </c>
      <c r="H58" s="5" t="inlineStr">
        <is>
          <t>W002</t>
        </is>
      </c>
      <c r="I58" s="5" t="n">
        <v>1154</v>
      </c>
      <c r="J58" s="5" t="n">
        <v>30</v>
      </c>
      <c r="K58" s="6">
        <f>IF(I58=0,0,J58/I58)</f>
        <v/>
      </c>
    </row>
    <row r="59">
      <c r="A59" s="3" t="inlineStr">
        <is>
          <t>B2024057</t>
        </is>
      </c>
      <c r="B59" s="3" t="inlineStr">
        <is>
          <t>2024-03-15</t>
        </is>
      </c>
      <c r="C59" s="3" t="inlineStr">
        <is>
          <t>L-01</t>
        </is>
      </c>
      <c r="D59" s="3" t="inlineStr">
        <is>
          <t>PRD-B</t>
        </is>
      </c>
      <c r="E59" s="3" t="n">
        <v>181.6</v>
      </c>
      <c r="F59" s="3" t="n">
        <v>6.19</v>
      </c>
      <c r="G59" s="3" t="n">
        <v>57.3</v>
      </c>
      <c r="H59" s="3" t="inlineStr">
        <is>
          <t>W004</t>
        </is>
      </c>
      <c r="I59" s="3" t="n">
        <v>1177</v>
      </c>
      <c r="J59" s="3" t="n">
        <v>33</v>
      </c>
      <c r="K59" s="4">
        <f>IF(I59=0,0,J59/I59)</f>
        <v/>
      </c>
    </row>
    <row r="60">
      <c r="A60" s="5" t="inlineStr">
        <is>
          <t>B2024058</t>
        </is>
      </c>
      <c r="B60" s="5" t="inlineStr">
        <is>
          <t>2024-03-13</t>
        </is>
      </c>
      <c r="C60" s="5" t="inlineStr">
        <is>
          <t>L-01</t>
        </is>
      </c>
      <c r="D60" s="5" t="inlineStr">
        <is>
          <t>PRD-B</t>
        </is>
      </c>
      <c r="E60" s="5" t="n">
        <v>189</v>
      </c>
      <c r="F60" s="5" t="n">
        <v>5.57</v>
      </c>
      <c r="G60" s="5" t="n">
        <v>58</v>
      </c>
      <c r="H60" s="5" t="inlineStr">
        <is>
          <t>W004</t>
        </is>
      </c>
      <c r="I60" s="5" t="n">
        <v>540</v>
      </c>
      <c r="J60" s="5" t="n">
        <v>0</v>
      </c>
      <c r="K60" s="6">
        <f>IF(I60=0,0,J60/I60)</f>
        <v/>
      </c>
    </row>
    <row r="61">
      <c r="A61" s="3" t="inlineStr">
        <is>
          <t>B2024059</t>
        </is>
      </c>
      <c r="B61" s="3" t="inlineStr">
        <is>
          <t>2024-03-24</t>
        </is>
      </c>
      <c r="C61" s="3" t="inlineStr">
        <is>
          <t>L-01</t>
        </is>
      </c>
      <c r="D61" s="3" t="inlineStr">
        <is>
          <t>PRD-C</t>
        </is>
      </c>
      <c r="E61" s="3" t="n">
        <v>182.6</v>
      </c>
      <c r="F61" s="3" t="n">
        <v>6.47</v>
      </c>
      <c r="G61" s="3" t="n">
        <v>69.8</v>
      </c>
      <c r="H61" s="3" t="inlineStr">
        <is>
          <t>W005</t>
        </is>
      </c>
      <c r="I61" s="3" t="n">
        <v>1602</v>
      </c>
      <c r="J61" s="3" t="n">
        <v>40</v>
      </c>
      <c r="K61" s="4">
        <f>IF(I61=0,0,J61/I61)</f>
        <v/>
      </c>
    </row>
    <row r="62">
      <c r="A62" s="5" t="inlineStr">
        <is>
          <t>B2024060</t>
        </is>
      </c>
      <c r="B62" s="5" t="inlineStr">
        <is>
          <t>2024-03-26</t>
        </is>
      </c>
      <c r="C62" s="5" t="inlineStr">
        <is>
          <t>L-03</t>
        </is>
      </c>
      <c r="D62" s="5" t="inlineStr">
        <is>
          <t>PRD-B</t>
        </is>
      </c>
      <c r="E62" s="5" t="n">
        <v>178.6</v>
      </c>
      <c r="F62" s="5" t="n">
        <v>6.03</v>
      </c>
      <c r="G62" s="5" t="n">
        <v>45.1</v>
      </c>
      <c r="H62" s="5" t="inlineStr">
        <is>
          <t>W004</t>
        </is>
      </c>
      <c r="I62" s="5" t="n">
        <v>1869</v>
      </c>
      <c r="J62" s="5" t="n">
        <v>57</v>
      </c>
      <c r="K62" s="6">
        <f>IF(I62=0,0,J62/I62)</f>
        <v/>
      </c>
    </row>
    <row r="63">
      <c r="A63" s="3" t="inlineStr">
        <is>
          <t>B2024061</t>
        </is>
      </c>
      <c r="B63" s="3" t="inlineStr">
        <is>
          <t>2024-03-19</t>
        </is>
      </c>
      <c r="C63" s="3" t="inlineStr">
        <is>
          <t>L-03</t>
        </is>
      </c>
      <c r="D63" s="3" t="inlineStr">
        <is>
          <t>PRD-B</t>
        </is>
      </c>
      <c r="E63" s="3" t="n">
        <v>194.7</v>
      </c>
      <c r="F63" s="3" t="n">
        <v>5.05</v>
      </c>
      <c r="G63" s="3" t="n">
        <v>67.3</v>
      </c>
      <c r="H63" s="3" t="inlineStr">
        <is>
          <t>W001</t>
        </is>
      </c>
      <c r="I63" s="3" t="n">
        <v>1306</v>
      </c>
      <c r="J63" s="3" t="n">
        <v>122</v>
      </c>
      <c r="K63" s="4">
        <f>IF(I63=0,0,J63/I63)</f>
        <v/>
      </c>
    </row>
    <row r="64">
      <c r="A64" s="5" t="inlineStr">
        <is>
          <t>B2024062</t>
        </is>
      </c>
      <c r="B64" s="5" t="inlineStr">
        <is>
          <t>2024-02-11</t>
        </is>
      </c>
      <c r="C64" s="5" t="inlineStr">
        <is>
          <t>L-01</t>
        </is>
      </c>
      <c r="D64" s="5" t="inlineStr">
        <is>
          <t>PRD-D</t>
        </is>
      </c>
      <c r="E64" s="5" t="n">
        <v>190.9</v>
      </c>
      <c r="F64" s="5" t="n">
        <v>6.42</v>
      </c>
      <c r="G64" s="5" t="n">
        <v>64.3</v>
      </c>
      <c r="H64" s="5" t="inlineStr">
        <is>
          <t>W003</t>
        </is>
      </c>
      <c r="I64" s="5" t="n">
        <v>933</v>
      </c>
      <c r="J64" s="5" t="n">
        <v>48</v>
      </c>
      <c r="K64" s="6">
        <f>IF(I64=0,0,J64/I64)</f>
        <v/>
      </c>
    </row>
    <row r="65">
      <c r="A65" s="3" t="inlineStr">
        <is>
          <t>B2024063</t>
        </is>
      </c>
      <c r="B65" s="3" t="inlineStr">
        <is>
          <t>2024-03-18</t>
        </is>
      </c>
      <c r="C65" s="3" t="inlineStr">
        <is>
          <t>L-02</t>
        </is>
      </c>
      <c r="D65" s="3" t="inlineStr">
        <is>
          <t>PRD-C</t>
        </is>
      </c>
      <c r="E65" s="3" t="n">
        <v>185.2</v>
      </c>
      <c r="F65" s="3" t="n">
        <v>5.06</v>
      </c>
      <c r="G65" s="3" t="n">
        <v>54.9</v>
      </c>
      <c r="H65" s="3" t="inlineStr">
        <is>
          <t>W001</t>
        </is>
      </c>
      <c r="I65" s="3" t="n">
        <v>539</v>
      </c>
      <c r="J65" s="3" t="n">
        <v>23</v>
      </c>
      <c r="K65" s="4">
        <f>IF(I65=0,0,J65/I65)</f>
        <v/>
      </c>
    </row>
    <row r="66">
      <c r="A66" s="5" t="inlineStr">
        <is>
          <t>B2024064</t>
        </is>
      </c>
      <c r="B66" s="5" t="inlineStr">
        <is>
          <t>2024-01-27</t>
        </is>
      </c>
      <c r="C66" s="5" t="inlineStr">
        <is>
          <t>L-02</t>
        </is>
      </c>
      <c r="D66" s="5" t="inlineStr">
        <is>
          <t>PRD-B</t>
        </is>
      </c>
      <c r="E66" s="5" t="n">
        <v>176.8</v>
      </c>
      <c r="F66" s="5" t="n">
        <v>5.29</v>
      </c>
      <c r="G66" s="5" t="n">
        <v>45.3</v>
      </c>
      <c r="H66" s="5" t="inlineStr">
        <is>
          <t>W001</t>
        </is>
      </c>
      <c r="I66" s="5" t="n">
        <v>1006</v>
      </c>
      <c r="J66" s="5" t="n">
        <v>29</v>
      </c>
      <c r="K66" s="6">
        <f>IF(I66=0,0,J66/I66)</f>
        <v/>
      </c>
    </row>
    <row r="67">
      <c r="A67" s="3" t="inlineStr">
        <is>
          <t>B2024065</t>
        </is>
      </c>
      <c r="B67" s="3" t="inlineStr">
        <is>
          <t>2024-03-09</t>
        </is>
      </c>
      <c r="C67" s="3" t="inlineStr">
        <is>
          <t>L-03</t>
        </is>
      </c>
      <c r="D67" s="3" t="inlineStr">
        <is>
          <t>PRD-B</t>
        </is>
      </c>
      <c r="E67" s="3" t="n">
        <v>185.7</v>
      </c>
      <c r="F67" s="3" t="n">
        <v>6.56</v>
      </c>
      <c r="G67" s="3" t="n">
        <v>73.3</v>
      </c>
      <c r="H67" s="3" t="inlineStr">
        <is>
          <t>W003</t>
        </is>
      </c>
      <c r="I67" s="3" t="n">
        <v>1452</v>
      </c>
      <c r="J67" s="3" t="n">
        <v>83</v>
      </c>
      <c r="K67" s="4">
        <f>IF(I67=0,0,J67/I67)</f>
        <v/>
      </c>
    </row>
    <row r="68">
      <c r="A68" s="5" t="inlineStr">
        <is>
          <t>B2024066</t>
        </is>
      </c>
      <c r="B68" s="5" t="inlineStr">
        <is>
          <t>2024-03-22</t>
        </is>
      </c>
      <c r="C68" s="5" t="inlineStr">
        <is>
          <t>L-01</t>
        </is>
      </c>
      <c r="D68" s="5" t="inlineStr">
        <is>
          <t>PRD-A</t>
        </is>
      </c>
      <c r="E68" s="5" t="n">
        <v>185.8</v>
      </c>
      <c r="F68" s="5" t="n">
        <v>5.71</v>
      </c>
      <c r="G68" s="5" t="n">
        <v>50.1</v>
      </c>
      <c r="H68" s="5" t="inlineStr">
        <is>
          <t>W004</t>
        </is>
      </c>
      <c r="I68" s="5" t="n">
        <v>1138</v>
      </c>
      <c r="J68" s="5" t="n">
        <v>33</v>
      </c>
      <c r="K68" s="6">
        <f>IF(I68=0,0,J68/I68)</f>
        <v/>
      </c>
    </row>
    <row r="69">
      <c r="A69" s="3" t="inlineStr">
        <is>
          <t>B2024067</t>
        </is>
      </c>
      <c r="B69" s="3" t="inlineStr">
        <is>
          <t>2024-03-20</t>
        </is>
      </c>
      <c r="C69" s="3" t="inlineStr">
        <is>
          <t>L-02</t>
        </is>
      </c>
      <c r="D69" s="3" t="inlineStr">
        <is>
          <t>PRD-B</t>
        </is>
      </c>
      <c r="E69" s="3" t="n">
        <v>195.9</v>
      </c>
      <c r="F69" s="3" t="n">
        <v>6.35</v>
      </c>
      <c r="G69" s="3" t="n">
        <v>51.8</v>
      </c>
      <c r="H69" s="3" t="inlineStr">
        <is>
          <t>W001</t>
        </is>
      </c>
      <c r="I69" s="3" t="n">
        <v>1117</v>
      </c>
      <c r="J69" s="3" t="n">
        <v>52</v>
      </c>
      <c r="K69" s="4">
        <f>IF(I69=0,0,J69/I69)</f>
        <v/>
      </c>
    </row>
    <row r="70">
      <c r="A70" s="5" t="inlineStr">
        <is>
          <t>B2024068</t>
        </is>
      </c>
      <c r="B70" s="5" t="inlineStr">
        <is>
          <t>2024-01-28</t>
        </is>
      </c>
      <c r="C70" s="5" t="inlineStr">
        <is>
          <t>L-03</t>
        </is>
      </c>
      <c r="D70" s="5" t="inlineStr">
        <is>
          <t>PRD-A</t>
        </is>
      </c>
      <c r="E70" s="5" t="n">
        <v>180.1</v>
      </c>
      <c r="F70" s="5" t="n">
        <v>6.43</v>
      </c>
      <c r="G70" s="5" t="n">
        <v>46.8</v>
      </c>
      <c r="H70" s="5" t="inlineStr">
        <is>
          <t>W004</t>
        </is>
      </c>
      <c r="I70" s="5" t="n">
        <v>1198</v>
      </c>
      <c r="J70" s="5" t="n">
        <v>44</v>
      </c>
      <c r="K70" s="6">
        <f>IF(I70=0,0,J70/I70)</f>
        <v/>
      </c>
    </row>
    <row r="71">
      <c r="A71" s="3" t="inlineStr">
        <is>
          <t>B2024069</t>
        </is>
      </c>
      <c r="B71" s="3" t="inlineStr">
        <is>
          <t>2024-02-06</t>
        </is>
      </c>
      <c r="C71" s="3" t="inlineStr">
        <is>
          <t>L-02</t>
        </is>
      </c>
      <c r="D71" s="3" t="inlineStr">
        <is>
          <t>PRD-A</t>
        </is>
      </c>
      <c r="E71" s="3" t="n">
        <v>178.1</v>
      </c>
      <c r="F71" s="3" t="n">
        <v>6.19</v>
      </c>
      <c r="G71" s="3" t="n">
        <v>63.6</v>
      </c>
      <c r="H71" s="3" t="inlineStr">
        <is>
          <t>W005</t>
        </is>
      </c>
      <c r="I71" s="3" t="n">
        <v>813</v>
      </c>
      <c r="J71" s="3" t="n">
        <v>11</v>
      </c>
      <c r="K71" s="4">
        <f>IF(I71=0,0,J71/I71)</f>
        <v/>
      </c>
    </row>
    <row r="72">
      <c r="A72" s="5" t="inlineStr">
        <is>
          <t>B2024070</t>
        </is>
      </c>
      <c r="B72" s="5" t="inlineStr">
        <is>
          <t>2024-03-09</t>
        </is>
      </c>
      <c r="C72" s="5" t="inlineStr">
        <is>
          <t>L-03</t>
        </is>
      </c>
      <c r="D72" s="5" t="inlineStr">
        <is>
          <t>PRD-C</t>
        </is>
      </c>
      <c r="E72" s="5" t="n">
        <v>171.6</v>
      </c>
      <c r="F72" s="5" t="n">
        <v>5.25</v>
      </c>
      <c r="G72" s="5" t="n">
        <v>56.7</v>
      </c>
      <c r="H72" s="5" t="inlineStr">
        <is>
          <t>W003</t>
        </is>
      </c>
      <c r="I72" s="5" t="n">
        <v>1997</v>
      </c>
      <c r="J72" s="5" t="n">
        <v>82</v>
      </c>
      <c r="K72" s="6">
        <f>IF(I72=0,0,J72/I72)</f>
        <v/>
      </c>
    </row>
    <row r="73">
      <c r="A73" s="3" t="inlineStr">
        <is>
          <t>B2024071</t>
        </is>
      </c>
      <c r="B73" s="3" t="inlineStr">
        <is>
          <t>2024-02-11</t>
        </is>
      </c>
      <c r="C73" s="3" t="inlineStr">
        <is>
          <t>L-01</t>
        </is>
      </c>
      <c r="D73" s="3" t="inlineStr">
        <is>
          <t>PRD-A</t>
        </is>
      </c>
      <c r="E73" s="3" t="n">
        <v>183.4</v>
      </c>
      <c r="F73" s="3" t="n">
        <v>6.54</v>
      </c>
      <c r="G73" s="3" t="n">
        <v>55</v>
      </c>
      <c r="H73" s="3" t="inlineStr">
        <is>
          <t>W001</t>
        </is>
      </c>
      <c r="I73" s="3" t="n">
        <v>1868</v>
      </c>
      <c r="J73" s="3" t="n">
        <v>17</v>
      </c>
      <c r="K73" s="4">
        <f>IF(I73=0,0,J73/I73)</f>
        <v/>
      </c>
    </row>
    <row r="74">
      <c r="A74" s="5" t="inlineStr">
        <is>
          <t>B2024072</t>
        </is>
      </c>
      <c r="B74" s="5" t="inlineStr">
        <is>
          <t>2024-03-09</t>
        </is>
      </c>
      <c r="C74" s="5" t="inlineStr">
        <is>
          <t>L-02</t>
        </is>
      </c>
      <c r="D74" s="5" t="inlineStr">
        <is>
          <t>PRD-C</t>
        </is>
      </c>
      <c r="E74" s="5" t="n">
        <v>187.3</v>
      </c>
      <c r="F74" s="5" t="n">
        <v>6.31</v>
      </c>
      <c r="G74" s="5" t="n">
        <v>57.7</v>
      </c>
      <c r="H74" s="5" t="inlineStr">
        <is>
          <t>W005</t>
        </is>
      </c>
      <c r="I74" s="5" t="n">
        <v>1720</v>
      </c>
      <c r="J74" s="5" t="n">
        <v>22</v>
      </c>
      <c r="K74" s="6">
        <f>IF(I74=0,0,J74/I74)</f>
        <v/>
      </c>
    </row>
    <row r="75">
      <c r="A75" s="3" t="inlineStr">
        <is>
          <t>B2024073</t>
        </is>
      </c>
      <c r="B75" s="3" t="inlineStr">
        <is>
          <t>2024-02-21</t>
        </is>
      </c>
      <c r="C75" s="3" t="inlineStr">
        <is>
          <t>L-01</t>
        </is>
      </c>
      <c r="D75" s="3" t="inlineStr">
        <is>
          <t>PRD-B</t>
        </is>
      </c>
      <c r="E75" s="3" t="n">
        <v>196</v>
      </c>
      <c r="F75" s="3" t="n">
        <v>6.41</v>
      </c>
      <c r="G75" s="3" t="n">
        <v>38.2</v>
      </c>
      <c r="H75" s="3" t="inlineStr">
        <is>
          <t>W004</t>
        </is>
      </c>
      <c r="I75" s="3" t="n">
        <v>1914</v>
      </c>
      <c r="J75" s="3" t="n">
        <v>97</v>
      </c>
      <c r="K75" s="4">
        <f>IF(I75=0,0,J75/I75)</f>
        <v/>
      </c>
    </row>
    <row r="76">
      <c r="A76" s="5" t="inlineStr">
        <is>
          <t>B2024074</t>
        </is>
      </c>
      <c r="B76" s="5" t="inlineStr">
        <is>
          <t>2024-02-16</t>
        </is>
      </c>
      <c r="C76" s="5" t="inlineStr">
        <is>
          <t>L-02</t>
        </is>
      </c>
      <c r="D76" s="5" t="inlineStr">
        <is>
          <t>PRD-A</t>
        </is>
      </c>
      <c r="E76" s="5" t="n">
        <v>189.7</v>
      </c>
      <c r="F76" s="5" t="n">
        <v>6.2</v>
      </c>
      <c r="G76" s="5" t="n">
        <v>51.9</v>
      </c>
      <c r="H76" s="5" t="inlineStr">
        <is>
          <t>W005</t>
        </is>
      </c>
      <c r="I76" s="5" t="n">
        <v>1691</v>
      </c>
      <c r="J76" s="5" t="n">
        <v>23</v>
      </c>
      <c r="K76" s="6">
        <f>IF(I76=0,0,J76/I76)</f>
        <v/>
      </c>
    </row>
    <row r="77">
      <c r="A77" s="3" t="inlineStr">
        <is>
          <t>B2024075</t>
        </is>
      </c>
      <c r="B77" s="3" t="inlineStr">
        <is>
          <t>2024-02-09</t>
        </is>
      </c>
      <c r="C77" s="3" t="inlineStr">
        <is>
          <t>L-03</t>
        </is>
      </c>
      <c r="D77" s="3" t="inlineStr">
        <is>
          <t>PRD-C</t>
        </is>
      </c>
      <c r="E77" s="3" t="n">
        <v>173.2</v>
      </c>
      <c r="F77" s="3" t="n">
        <v>6.37</v>
      </c>
      <c r="G77" s="3" t="n">
        <v>47.4</v>
      </c>
      <c r="H77" s="3" t="inlineStr">
        <is>
          <t>W002</t>
        </is>
      </c>
      <c r="I77" s="3" t="n">
        <v>1054</v>
      </c>
      <c r="J77" s="3" t="n">
        <v>43</v>
      </c>
      <c r="K77" s="4">
        <f>IF(I77=0,0,J77/I77)</f>
        <v/>
      </c>
    </row>
    <row r="78">
      <c r="A78" s="5" t="inlineStr">
        <is>
          <t>B2024076</t>
        </is>
      </c>
      <c r="B78" s="5" t="inlineStr">
        <is>
          <t>2024-01-24</t>
        </is>
      </c>
      <c r="C78" s="5" t="inlineStr">
        <is>
          <t>L-01</t>
        </is>
      </c>
      <c r="D78" s="5" t="inlineStr">
        <is>
          <t>PRD-B</t>
        </is>
      </c>
      <c r="E78" s="5" t="n">
        <v>179.7</v>
      </c>
      <c r="F78" s="5" t="n">
        <v>6.76</v>
      </c>
      <c r="G78" s="5" t="n">
        <v>69.59999999999999</v>
      </c>
      <c r="H78" s="5" t="inlineStr">
        <is>
          <t>W004</t>
        </is>
      </c>
      <c r="I78" s="5" t="n">
        <v>892</v>
      </c>
      <c r="J78" s="5" t="n">
        <v>27</v>
      </c>
      <c r="K78" s="6">
        <f>IF(I78=0,0,J78/I78)</f>
        <v/>
      </c>
    </row>
    <row r="79">
      <c r="A79" s="3" t="inlineStr">
        <is>
          <t>B2024077</t>
        </is>
      </c>
      <c r="B79" s="3" t="inlineStr">
        <is>
          <t>2024-01-23</t>
        </is>
      </c>
      <c r="C79" s="3" t="inlineStr">
        <is>
          <t>L-02</t>
        </is>
      </c>
      <c r="D79" s="3" t="inlineStr">
        <is>
          <t>PRD-C</t>
        </is>
      </c>
      <c r="E79" s="3" t="n">
        <v>200</v>
      </c>
      <c r="F79" s="3" t="n">
        <v>5.88</v>
      </c>
      <c r="G79" s="3" t="n">
        <v>52.3</v>
      </c>
      <c r="H79" s="3" t="inlineStr">
        <is>
          <t>W005</t>
        </is>
      </c>
      <c r="I79" s="3" t="n">
        <v>1119</v>
      </c>
      <c r="J79" s="3" t="n">
        <v>64</v>
      </c>
      <c r="K79" s="4">
        <f>IF(I79=0,0,J79/I79)</f>
        <v/>
      </c>
    </row>
    <row r="80">
      <c r="A80" s="5" t="inlineStr">
        <is>
          <t>B2024078</t>
        </is>
      </c>
      <c r="B80" s="5" t="inlineStr">
        <is>
          <t>2024-02-04</t>
        </is>
      </c>
      <c r="C80" s="5" t="inlineStr">
        <is>
          <t>L-01</t>
        </is>
      </c>
      <c r="D80" s="5" t="inlineStr">
        <is>
          <t>PRD-C</t>
        </is>
      </c>
      <c r="E80" s="5" t="n">
        <v>187.6</v>
      </c>
      <c r="F80" s="5" t="n">
        <v>6.05</v>
      </c>
      <c r="G80" s="5" t="n">
        <v>48.7</v>
      </c>
      <c r="H80" s="5" t="inlineStr">
        <is>
          <t>W001</t>
        </is>
      </c>
      <c r="I80" s="5" t="n">
        <v>1806</v>
      </c>
      <c r="J80" s="5" t="n">
        <v>69</v>
      </c>
      <c r="K80" s="6">
        <f>IF(I80=0,0,J80/I80)</f>
        <v/>
      </c>
    </row>
    <row r="81">
      <c r="A81" s="3" t="inlineStr">
        <is>
          <t>B2024079</t>
        </is>
      </c>
      <c r="B81" s="3" t="inlineStr">
        <is>
          <t>2024-01-27</t>
        </is>
      </c>
      <c r="C81" s="3" t="inlineStr">
        <is>
          <t>L-03</t>
        </is>
      </c>
      <c r="D81" s="3" t="inlineStr">
        <is>
          <t>PRD-C</t>
        </is>
      </c>
      <c r="E81" s="3" t="n">
        <v>176.5</v>
      </c>
      <c r="F81" s="3" t="n">
        <v>6.1</v>
      </c>
      <c r="G81" s="3" t="n">
        <v>56.3</v>
      </c>
      <c r="H81" s="3" t="inlineStr">
        <is>
          <t>W001</t>
        </is>
      </c>
      <c r="I81" s="3" t="n">
        <v>1478</v>
      </c>
      <c r="J81" s="3" t="n">
        <v>47</v>
      </c>
      <c r="K81" s="4">
        <f>IF(I81=0,0,J81/I81)</f>
        <v/>
      </c>
    </row>
    <row r="82">
      <c r="A82" s="5" t="inlineStr">
        <is>
          <t>B2024080</t>
        </is>
      </c>
      <c r="B82" s="5" t="inlineStr">
        <is>
          <t>2024-02-03</t>
        </is>
      </c>
      <c r="C82" s="5" t="inlineStr">
        <is>
          <t>L-02</t>
        </is>
      </c>
      <c r="D82" s="5" t="inlineStr">
        <is>
          <t>PRD-D</t>
        </is>
      </c>
      <c r="E82" s="5" t="n">
        <v>195.1</v>
      </c>
      <c r="F82" s="5" t="n">
        <v>6.32</v>
      </c>
      <c r="G82" s="5" t="n">
        <v>60.4</v>
      </c>
      <c r="H82" s="5" t="inlineStr">
        <is>
          <t>W002</t>
        </is>
      </c>
      <c r="I82" s="5" t="n">
        <v>1652</v>
      </c>
      <c r="J82" s="5" t="n">
        <v>85</v>
      </c>
      <c r="K82" s="6">
        <f>IF(I82=0,0,J82/I82)</f>
        <v/>
      </c>
    </row>
    <row r="83">
      <c r="A83" s="3" t="inlineStr">
        <is>
          <t>B2024081</t>
        </is>
      </c>
      <c r="B83" s="3" t="inlineStr">
        <is>
          <t>2024-02-10</t>
        </is>
      </c>
      <c r="C83" s="3" t="inlineStr">
        <is>
          <t>L-01</t>
        </is>
      </c>
      <c r="D83" s="3" t="inlineStr">
        <is>
          <t>PRD-D</t>
        </is>
      </c>
      <c r="E83" s="3" t="n">
        <v>173.9</v>
      </c>
      <c r="F83" s="3" t="n">
        <v>5.45</v>
      </c>
      <c r="G83" s="3" t="n">
        <v>56.9</v>
      </c>
      <c r="H83" s="3" t="inlineStr">
        <is>
          <t>W005</t>
        </is>
      </c>
      <c r="I83" s="3" t="n">
        <v>1422</v>
      </c>
      <c r="J83" s="3" t="n">
        <v>70</v>
      </c>
      <c r="K83" s="4">
        <f>IF(I83=0,0,J83/I83)</f>
        <v/>
      </c>
    </row>
    <row r="84">
      <c r="A84" s="5" t="inlineStr">
        <is>
          <t>B2024082</t>
        </is>
      </c>
      <c r="B84" s="5" t="inlineStr">
        <is>
          <t>2024-03-07</t>
        </is>
      </c>
      <c r="C84" s="5" t="inlineStr">
        <is>
          <t>L-02</t>
        </is>
      </c>
      <c r="D84" s="5" t="inlineStr">
        <is>
          <t>PRD-C</t>
        </is>
      </c>
      <c r="E84" s="5" t="n">
        <v>182.4</v>
      </c>
      <c r="F84" s="5" t="n">
        <v>5.93</v>
      </c>
      <c r="G84" s="5" t="n">
        <v>59.4</v>
      </c>
      <c r="H84" s="5" t="inlineStr">
        <is>
          <t>W003</t>
        </is>
      </c>
      <c r="I84" s="5" t="n">
        <v>925</v>
      </c>
      <c r="J84" s="5" t="n">
        <v>17</v>
      </c>
      <c r="K84" s="6">
        <f>IF(I84=0,0,J84/I84)</f>
        <v/>
      </c>
    </row>
    <row r="85">
      <c r="A85" s="3" t="inlineStr">
        <is>
          <t>B2024083</t>
        </is>
      </c>
      <c r="B85" s="3" t="inlineStr">
        <is>
          <t>2024-03-20</t>
        </is>
      </c>
      <c r="C85" s="3" t="inlineStr">
        <is>
          <t>L-03</t>
        </is>
      </c>
      <c r="D85" s="3" t="inlineStr">
        <is>
          <t>PRD-A</t>
        </is>
      </c>
      <c r="E85" s="3" t="n">
        <v>187.7</v>
      </c>
      <c r="F85" s="3" t="n">
        <v>6.26</v>
      </c>
      <c r="G85" s="3" t="n">
        <v>55.7</v>
      </c>
      <c r="H85" s="3" t="inlineStr">
        <is>
          <t>W004</t>
        </is>
      </c>
      <c r="I85" s="3" t="n">
        <v>1422</v>
      </c>
      <c r="J85" s="3" t="n">
        <v>43</v>
      </c>
      <c r="K85" s="4">
        <f>IF(I85=0,0,J85/I85)</f>
        <v/>
      </c>
    </row>
    <row r="86">
      <c r="A86" s="5" t="inlineStr">
        <is>
          <t>B2024084</t>
        </is>
      </c>
      <c r="B86" s="5" t="inlineStr">
        <is>
          <t>2024-01-09</t>
        </is>
      </c>
      <c r="C86" s="5" t="inlineStr">
        <is>
          <t>L-02</t>
        </is>
      </c>
      <c r="D86" s="5" t="inlineStr">
        <is>
          <t>PRD-A</t>
        </is>
      </c>
      <c r="E86" s="5" t="n">
        <v>186.5</v>
      </c>
      <c r="F86" s="5" t="n">
        <v>6.78</v>
      </c>
      <c r="G86" s="5" t="n">
        <v>51.8</v>
      </c>
      <c r="H86" s="5" t="inlineStr">
        <is>
          <t>W005</t>
        </is>
      </c>
      <c r="I86" s="5" t="n">
        <v>1907</v>
      </c>
      <c r="J86" s="5" t="n">
        <v>22</v>
      </c>
      <c r="K86" s="6">
        <f>IF(I86=0,0,J86/I86)</f>
        <v/>
      </c>
    </row>
    <row r="87">
      <c r="A87" s="3" t="inlineStr">
        <is>
          <t>B2024085</t>
        </is>
      </c>
      <c r="B87" s="3" t="inlineStr">
        <is>
          <t>2024-01-02</t>
        </is>
      </c>
      <c r="C87" s="3" t="inlineStr">
        <is>
          <t>L-03</t>
        </is>
      </c>
      <c r="D87" s="3" t="inlineStr">
        <is>
          <t>PRD-B</t>
        </is>
      </c>
      <c r="E87" s="3" t="n">
        <v>176.1</v>
      </c>
      <c r="F87" s="3" t="n">
        <v>6.28</v>
      </c>
      <c r="G87" s="3" t="n">
        <v>41.9</v>
      </c>
      <c r="H87" s="3" t="inlineStr">
        <is>
          <t>W002</t>
        </is>
      </c>
      <c r="I87" s="3" t="n">
        <v>791</v>
      </c>
      <c r="J87" s="3" t="n">
        <v>12</v>
      </c>
      <c r="K87" s="4">
        <f>IF(I87=0,0,J87/I87)</f>
        <v/>
      </c>
    </row>
    <row r="88">
      <c r="A88" s="5" t="inlineStr">
        <is>
          <t>B2024086</t>
        </is>
      </c>
      <c r="B88" s="5" t="inlineStr">
        <is>
          <t>2024-03-18</t>
        </is>
      </c>
      <c r="C88" s="5" t="inlineStr">
        <is>
          <t>L-02</t>
        </is>
      </c>
      <c r="D88" s="5" t="inlineStr">
        <is>
          <t>PRD-C</t>
        </is>
      </c>
      <c r="E88" s="5" t="n">
        <v>176.7</v>
      </c>
      <c r="F88" s="5" t="n">
        <v>6.21</v>
      </c>
      <c r="G88" s="5" t="n">
        <v>51.6</v>
      </c>
      <c r="H88" s="5" t="inlineStr">
        <is>
          <t>W004</t>
        </is>
      </c>
      <c r="I88" s="5" t="n">
        <v>1057</v>
      </c>
      <c r="J88" s="5" t="n">
        <v>29</v>
      </c>
      <c r="K88" s="6">
        <f>IF(I88=0,0,J88/I88)</f>
        <v/>
      </c>
    </row>
    <row r="89">
      <c r="A89" s="3" t="inlineStr">
        <is>
          <t>B2024087</t>
        </is>
      </c>
      <c r="B89" s="3" t="inlineStr">
        <is>
          <t>2024-01-08</t>
        </is>
      </c>
      <c r="C89" s="3" t="inlineStr">
        <is>
          <t>L-02</t>
        </is>
      </c>
      <c r="D89" s="3" t="inlineStr">
        <is>
          <t>PRD-A</t>
        </is>
      </c>
      <c r="E89" s="3" t="n">
        <v>171.3</v>
      </c>
      <c r="F89" s="3" t="n">
        <v>5.39</v>
      </c>
      <c r="G89" s="3" t="n">
        <v>53.7</v>
      </c>
      <c r="H89" s="3" t="inlineStr">
        <is>
          <t>W005</t>
        </is>
      </c>
      <c r="I89" s="3" t="n">
        <v>552</v>
      </c>
      <c r="J89" s="3" t="n">
        <v>16</v>
      </c>
      <c r="K89" s="4">
        <f>IF(I89=0,0,J89/I89)</f>
        <v/>
      </c>
    </row>
    <row r="90">
      <c r="A90" s="5" t="inlineStr">
        <is>
          <t>B2024088</t>
        </is>
      </c>
      <c r="B90" s="5" t="inlineStr">
        <is>
          <t>2024-02-17</t>
        </is>
      </c>
      <c r="C90" s="5" t="inlineStr">
        <is>
          <t>L-03</t>
        </is>
      </c>
      <c r="D90" s="5" t="inlineStr">
        <is>
          <t>PRD-A</t>
        </is>
      </c>
      <c r="E90" s="5" t="n">
        <v>196.9</v>
      </c>
      <c r="F90" s="5" t="n">
        <v>6</v>
      </c>
      <c r="G90" s="5" t="n">
        <v>54.6</v>
      </c>
      <c r="H90" s="5" t="inlineStr">
        <is>
          <t>W004</t>
        </is>
      </c>
      <c r="I90" s="5" t="n">
        <v>858</v>
      </c>
      <c r="J90" s="5" t="n">
        <v>53</v>
      </c>
      <c r="K90" s="6">
        <f>IF(I90=0,0,J90/I90)</f>
        <v/>
      </c>
    </row>
    <row r="91">
      <c r="A91" s="3" t="inlineStr">
        <is>
          <t>B2024089</t>
        </is>
      </c>
      <c r="B91" s="3" t="inlineStr">
        <is>
          <t>2024-02-14</t>
        </is>
      </c>
      <c r="C91" s="3" t="inlineStr">
        <is>
          <t>L-02</t>
        </is>
      </c>
      <c r="D91" s="3" t="inlineStr">
        <is>
          <t>PRD-B</t>
        </is>
      </c>
      <c r="E91" s="3" t="n">
        <v>193.6</v>
      </c>
      <c r="F91" s="3" t="n">
        <v>5.99</v>
      </c>
      <c r="G91" s="3" t="n">
        <v>65.40000000000001</v>
      </c>
      <c r="H91" s="3" t="inlineStr">
        <is>
          <t>W003</t>
        </is>
      </c>
      <c r="I91" s="3" t="n">
        <v>1462</v>
      </c>
      <c r="J91" s="3" t="n">
        <v>66</v>
      </c>
      <c r="K91" s="4">
        <f>IF(I91=0,0,J91/I91)</f>
        <v/>
      </c>
    </row>
    <row r="92">
      <c r="A92" s="5" t="inlineStr">
        <is>
          <t>B2024090</t>
        </is>
      </c>
      <c r="B92" s="5" t="inlineStr">
        <is>
          <t>2024-03-02</t>
        </is>
      </c>
      <c r="C92" s="5" t="inlineStr">
        <is>
          <t>L-02</t>
        </is>
      </c>
      <c r="D92" s="5" t="inlineStr">
        <is>
          <t>PRD-A</t>
        </is>
      </c>
      <c r="E92" s="5" t="n">
        <v>189.5</v>
      </c>
      <c r="F92" s="5" t="n">
        <v>5.65</v>
      </c>
      <c r="G92" s="5" t="n">
        <v>52.1</v>
      </c>
      <c r="H92" s="5" t="inlineStr">
        <is>
          <t>W004</t>
        </is>
      </c>
      <c r="I92" s="5" t="n">
        <v>1320</v>
      </c>
      <c r="J92" s="5" t="n">
        <v>18</v>
      </c>
      <c r="K92" s="6">
        <f>IF(I92=0,0,J92/I92)</f>
        <v/>
      </c>
    </row>
    <row r="93">
      <c r="A93" s="3" t="inlineStr">
        <is>
          <t>B2024091</t>
        </is>
      </c>
      <c r="B93" s="3" t="inlineStr">
        <is>
          <t>2024-03-28</t>
        </is>
      </c>
      <c r="C93" s="3" t="inlineStr">
        <is>
          <t>L-01</t>
        </is>
      </c>
      <c r="D93" s="3" t="inlineStr">
        <is>
          <t>PRD-C</t>
        </is>
      </c>
      <c r="E93" s="3" t="n">
        <v>184.9</v>
      </c>
      <c r="F93" s="3" t="n">
        <v>6.25</v>
      </c>
      <c r="G93" s="3" t="n">
        <v>57.8</v>
      </c>
      <c r="H93" s="3" t="inlineStr">
        <is>
          <t>W005</t>
        </is>
      </c>
      <c r="I93" s="3" t="n">
        <v>502</v>
      </c>
      <c r="J93" s="3" t="n">
        <v>2</v>
      </c>
      <c r="K93" s="4">
        <f>IF(I93=0,0,J93/I93)</f>
        <v/>
      </c>
    </row>
    <row r="94">
      <c r="A94" s="5" t="inlineStr">
        <is>
          <t>B2024092</t>
        </is>
      </c>
      <c r="B94" s="5" t="inlineStr">
        <is>
          <t>2024-01-07</t>
        </is>
      </c>
      <c r="C94" s="5" t="inlineStr">
        <is>
          <t>L-02</t>
        </is>
      </c>
      <c r="D94" s="5" t="inlineStr">
        <is>
          <t>PRD-D</t>
        </is>
      </c>
      <c r="E94" s="5" t="n">
        <v>194.1</v>
      </c>
      <c r="F94" s="5" t="n">
        <v>6.2</v>
      </c>
      <c r="G94" s="5" t="n">
        <v>46.6</v>
      </c>
      <c r="H94" s="5" t="inlineStr">
        <is>
          <t>W003</t>
        </is>
      </c>
      <c r="I94" s="5" t="n">
        <v>1405</v>
      </c>
      <c r="J94" s="5" t="n">
        <v>61</v>
      </c>
      <c r="K94" s="6">
        <f>IF(I94=0,0,J94/I94)</f>
        <v/>
      </c>
    </row>
    <row r="95">
      <c r="A95" s="3" t="inlineStr">
        <is>
          <t>B2024093</t>
        </is>
      </c>
      <c r="B95" s="3" t="inlineStr">
        <is>
          <t>2024-03-26</t>
        </is>
      </c>
      <c r="C95" s="3" t="inlineStr">
        <is>
          <t>L-03</t>
        </is>
      </c>
      <c r="D95" s="3" t="inlineStr">
        <is>
          <t>PRD-B</t>
        </is>
      </c>
      <c r="E95" s="3" t="n">
        <v>192.7</v>
      </c>
      <c r="F95" s="3" t="n">
        <v>5.76</v>
      </c>
      <c r="G95" s="3" t="n">
        <v>53.4</v>
      </c>
      <c r="H95" s="3" t="inlineStr">
        <is>
          <t>W002</t>
        </is>
      </c>
      <c r="I95" s="3" t="n">
        <v>1790</v>
      </c>
      <c r="J95" s="3" t="n">
        <v>100</v>
      </c>
      <c r="K95" s="4">
        <f>IF(I95=0,0,J95/I95)</f>
        <v/>
      </c>
    </row>
    <row r="96">
      <c r="A96" s="5" t="inlineStr">
        <is>
          <t>B2024094</t>
        </is>
      </c>
      <c r="B96" s="5" t="inlineStr">
        <is>
          <t>2024-02-04</t>
        </is>
      </c>
      <c r="C96" s="5" t="inlineStr">
        <is>
          <t>L-03</t>
        </is>
      </c>
      <c r="D96" s="5" t="inlineStr">
        <is>
          <t>PRD-B</t>
        </is>
      </c>
      <c r="E96" s="5" t="n">
        <v>184.5</v>
      </c>
      <c r="F96" s="5" t="n">
        <v>6.08</v>
      </c>
      <c r="G96" s="5" t="n">
        <v>49</v>
      </c>
      <c r="H96" s="5" t="inlineStr">
        <is>
          <t>W002</t>
        </is>
      </c>
      <c r="I96" s="5" t="n">
        <v>732</v>
      </c>
      <c r="J96" s="5" t="n">
        <v>24</v>
      </c>
      <c r="K96" s="6">
        <f>IF(I96=0,0,J96/I96)</f>
        <v/>
      </c>
    </row>
    <row r="97">
      <c r="A97" s="3" t="inlineStr">
        <is>
          <t>B2024095</t>
        </is>
      </c>
      <c r="B97" s="3" t="inlineStr">
        <is>
          <t>2024-02-18</t>
        </is>
      </c>
      <c r="C97" s="3" t="inlineStr">
        <is>
          <t>L-02</t>
        </is>
      </c>
      <c r="D97" s="3" t="inlineStr">
        <is>
          <t>PRD-C</t>
        </is>
      </c>
      <c r="E97" s="3" t="n">
        <v>178.6</v>
      </c>
      <c r="F97" s="3" t="n">
        <v>5.98</v>
      </c>
      <c r="G97" s="3" t="n">
        <v>69.2</v>
      </c>
      <c r="H97" s="3" t="inlineStr">
        <is>
          <t>W002</t>
        </is>
      </c>
      <c r="I97" s="3" t="n">
        <v>999</v>
      </c>
      <c r="J97" s="3" t="n">
        <v>15</v>
      </c>
      <c r="K97" s="4">
        <f>IF(I97=0,0,J97/I97)</f>
        <v/>
      </c>
    </row>
    <row r="98">
      <c r="A98" s="5" t="inlineStr">
        <is>
          <t>B2024096</t>
        </is>
      </c>
      <c r="B98" s="5" t="inlineStr">
        <is>
          <t>2024-02-11</t>
        </is>
      </c>
      <c r="C98" s="5" t="inlineStr">
        <is>
          <t>L-02</t>
        </is>
      </c>
      <c r="D98" s="5" t="inlineStr">
        <is>
          <t>PRD-B</t>
        </is>
      </c>
      <c r="E98" s="5" t="n">
        <v>193.4</v>
      </c>
      <c r="F98" s="5" t="n">
        <v>5.72</v>
      </c>
      <c r="G98" s="5" t="n">
        <v>69.5</v>
      </c>
      <c r="H98" s="5" t="inlineStr">
        <is>
          <t>W005</t>
        </is>
      </c>
      <c r="I98" s="5" t="n">
        <v>1065</v>
      </c>
      <c r="J98" s="5" t="n">
        <v>57</v>
      </c>
      <c r="K98" s="6">
        <f>IF(I98=0,0,J98/I98)</f>
        <v/>
      </c>
    </row>
    <row r="99">
      <c r="A99" s="3" t="inlineStr">
        <is>
          <t>B2024097</t>
        </is>
      </c>
      <c r="B99" s="3" t="inlineStr">
        <is>
          <t>2024-01-15</t>
        </is>
      </c>
      <c r="C99" s="3" t="inlineStr">
        <is>
          <t>L-02</t>
        </is>
      </c>
      <c r="D99" s="3" t="inlineStr">
        <is>
          <t>PRD-A</t>
        </is>
      </c>
      <c r="E99" s="3" t="n">
        <v>183.6</v>
      </c>
      <c r="F99" s="3" t="n">
        <v>6.41</v>
      </c>
      <c r="G99" s="3" t="n">
        <v>23.5</v>
      </c>
      <c r="H99" s="3" t="inlineStr">
        <is>
          <t>W005</t>
        </is>
      </c>
      <c r="I99" s="3" t="n">
        <v>1502</v>
      </c>
      <c r="J99" s="3" t="n">
        <v>6</v>
      </c>
      <c r="K99" s="4">
        <f>IF(I99=0,0,J99/I99)</f>
        <v/>
      </c>
    </row>
    <row r="100">
      <c r="A100" s="5" t="inlineStr">
        <is>
          <t>B2024098</t>
        </is>
      </c>
      <c r="B100" s="5" t="inlineStr">
        <is>
          <t>2024-03-08</t>
        </is>
      </c>
      <c r="C100" s="5" t="inlineStr">
        <is>
          <t>L-02</t>
        </is>
      </c>
      <c r="D100" s="5" t="inlineStr">
        <is>
          <t>PRD-C</t>
        </is>
      </c>
      <c r="E100" s="5" t="n">
        <v>178.3</v>
      </c>
      <c r="F100" s="5" t="n">
        <v>6.74</v>
      </c>
      <c r="G100" s="5" t="n">
        <v>38.3</v>
      </c>
      <c r="H100" s="5" t="inlineStr">
        <is>
          <t>W005</t>
        </is>
      </c>
      <c r="I100" s="5" t="n">
        <v>886</v>
      </c>
      <c r="J100" s="5" t="n">
        <v>29</v>
      </c>
      <c r="K100" s="6">
        <f>IF(I100=0,0,J100/I100)</f>
        <v/>
      </c>
    </row>
    <row r="101">
      <c r="A101" s="3" t="inlineStr">
        <is>
          <t>B2024099</t>
        </is>
      </c>
      <c r="B101" s="3" t="inlineStr">
        <is>
          <t>2024-02-22</t>
        </is>
      </c>
      <c r="C101" s="3" t="inlineStr">
        <is>
          <t>L-02</t>
        </is>
      </c>
      <c r="D101" s="3" t="inlineStr">
        <is>
          <t>PRD-B</t>
        </is>
      </c>
      <c r="E101" s="3" t="n">
        <v>190.1</v>
      </c>
      <c r="F101" s="3" t="n">
        <v>5.6</v>
      </c>
      <c r="G101" s="3" t="n">
        <v>50.3</v>
      </c>
      <c r="H101" s="3" t="inlineStr">
        <is>
          <t>W002</t>
        </is>
      </c>
      <c r="I101" s="3" t="n">
        <v>1280</v>
      </c>
      <c r="J101" s="3" t="n">
        <v>74</v>
      </c>
      <c r="K101" s="4">
        <f>IF(I101=0,0,J101/I101)</f>
        <v/>
      </c>
    </row>
    <row r="102">
      <c r="A102" s="5" t="inlineStr">
        <is>
          <t>B2024100</t>
        </is>
      </c>
      <c r="B102" s="5" t="inlineStr">
        <is>
          <t>2024-01-17</t>
        </is>
      </c>
      <c r="C102" s="5" t="inlineStr">
        <is>
          <t>L-02</t>
        </is>
      </c>
      <c r="D102" s="5" t="inlineStr">
        <is>
          <t>PRD-A</t>
        </is>
      </c>
      <c r="E102" s="5" t="n">
        <v>199.6</v>
      </c>
      <c r="F102" s="5" t="n">
        <v>6.92</v>
      </c>
      <c r="G102" s="5" t="n">
        <v>52.7</v>
      </c>
      <c r="H102" s="5" t="inlineStr">
        <is>
          <t>W004</t>
        </is>
      </c>
      <c r="I102" s="5" t="n">
        <v>1401</v>
      </c>
      <c r="J102" s="5" t="n">
        <v>74</v>
      </c>
      <c r="K102" s="6">
        <f>IF(I102=0,0,J102/I102)</f>
        <v/>
      </c>
    </row>
    <row r="103">
      <c r="A103" s="3" t="inlineStr">
        <is>
          <t>B2024101</t>
        </is>
      </c>
      <c r="B103" s="3" t="inlineStr">
        <is>
          <t>2024-02-20</t>
        </is>
      </c>
      <c r="C103" s="3" t="inlineStr">
        <is>
          <t>L-01</t>
        </is>
      </c>
      <c r="D103" s="3" t="inlineStr">
        <is>
          <t>PRD-B</t>
        </is>
      </c>
      <c r="E103" s="3" t="n">
        <v>175.1</v>
      </c>
      <c r="F103" s="3" t="n">
        <v>6.39</v>
      </c>
      <c r="G103" s="3" t="n">
        <v>61.4</v>
      </c>
      <c r="H103" s="3" t="inlineStr">
        <is>
          <t>W004</t>
        </is>
      </c>
      <c r="I103" s="3" t="n">
        <v>1042</v>
      </c>
      <c r="J103" s="3" t="n">
        <v>28</v>
      </c>
      <c r="K103" s="4">
        <f>IF(I103=0,0,J103/I103)</f>
        <v/>
      </c>
    </row>
    <row r="104">
      <c r="A104" s="5" t="inlineStr">
        <is>
          <t>B2024102</t>
        </is>
      </c>
      <c r="B104" s="5" t="inlineStr">
        <is>
          <t>2024-03-23</t>
        </is>
      </c>
      <c r="C104" s="5" t="inlineStr">
        <is>
          <t>L-03</t>
        </is>
      </c>
      <c r="D104" s="5" t="inlineStr">
        <is>
          <t>PRD-A</t>
        </is>
      </c>
      <c r="E104" s="5" t="n">
        <v>194.3</v>
      </c>
      <c r="F104" s="5" t="n">
        <v>5.22</v>
      </c>
      <c r="G104" s="5" t="n">
        <v>61.2</v>
      </c>
      <c r="H104" s="5" t="inlineStr">
        <is>
          <t>W004</t>
        </is>
      </c>
      <c r="I104" s="5" t="n">
        <v>1148</v>
      </c>
      <c r="J104" s="5" t="n">
        <v>84</v>
      </c>
      <c r="K104" s="6">
        <f>IF(I104=0,0,J104/I104)</f>
        <v/>
      </c>
    </row>
    <row r="105">
      <c r="A105" s="3" t="inlineStr">
        <is>
          <t>B2024103</t>
        </is>
      </c>
      <c r="B105" s="3" t="inlineStr">
        <is>
          <t>2024-03-03</t>
        </is>
      </c>
      <c r="C105" s="3" t="inlineStr">
        <is>
          <t>L-03</t>
        </is>
      </c>
      <c r="D105" s="3" t="inlineStr">
        <is>
          <t>PRD-A</t>
        </is>
      </c>
      <c r="E105" s="3" t="n">
        <v>180.7</v>
      </c>
      <c r="F105" s="3" t="n">
        <v>5.75</v>
      </c>
      <c r="G105" s="3" t="n">
        <v>51.7</v>
      </c>
      <c r="H105" s="3" t="inlineStr">
        <is>
          <t>W004</t>
        </is>
      </c>
      <c r="I105" s="3" t="n">
        <v>965</v>
      </c>
      <c r="J105" s="3" t="n">
        <v>23</v>
      </c>
      <c r="K105" s="4">
        <f>IF(I105=0,0,J105/I105)</f>
        <v/>
      </c>
    </row>
    <row r="106">
      <c r="A106" s="5" t="inlineStr">
        <is>
          <t>B2024104</t>
        </is>
      </c>
      <c r="B106" s="5" t="inlineStr">
        <is>
          <t>2024-02-12</t>
        </is>
      </c>
      <c r="C106" s="5" t="inlineStr">
        <is>
          <t>L-01</t>
        </is>
      </c>
      <c r="D106" s="5" t="inlineStr">
        <is>
          <t>PRD-A</t>
        </is>
      </c>
      <c r="E106" s="5" t="n">
        <v>173.5</v>
      </c>
      <c r="F106" s="5" t="n">
        <v>6.27</v>
      </c>
      <c r="G106" s="5" t="n">
        <v>57.5</v>
      </c>
      <c r="H106" s="5" t="inlineStr">
        <is>
          <t>W003</t>
        </is>
      </c>
      <c r="I106" s="5" t="n">
        <v>614</v>
      </c>
      <c r="J106" s="5" t="n">
        <v>11</v>
      </c>
      <c r="K106" s="6">
        <f>IF(I106=0,0,J106/I106)</f>
        <v/>
      </c>
    </row>
    <row r="107">
      <c r="A107" s="3" t="inlineStr">
        <is>
          <t>B2024105</t>
        </is>
      </c>
      <c r="B107" s="3" t="inlineStr">
        <is>
          <t>2024-01-20</t>
        </is>
      </c>
      <c r="C107" s="3" t="inlineStr">
        <is>
          <t>L-02</t>
        </is>
      </c>
      <c r="D107" s="3" t="inlineStr">
        <is>
          <t>PRD-B</t>
        </is>
      </c>
      <c r="E107" s="3" t="n">
        <v>185.3</v>
      </c>
      <c r="F107" s="3" t="n">
        <v>6.51</v>
      </c>
      <c r="G107" s="3" t="n">
        <v>52.4</v>
      </c>
      <c r="H107" s="3" t="inlineStr">
        <is>
          <t>W004</t>
        </is>
      </c>
      <c r="I107" s="3" t="n">
        <v>858</v>
      </c>
      <c r="J107" s="3" t="n">
        <v>13</v>
      </c>
      <c r="K107" s="4">
        <f>IF(I107=0,0,J107/I107)</f>
        <v/>
      </c>
    </row>
    <row r="108">
      <c r="A108" s="5" t="inlineStr">
        <is>
          <t>B2024106</t>
        </is>
      </c>
      <c r="B108" s="5" t="inlineStr">
        <is>
          <t>2024-02-22</t>
        </is>
      </c>
      <c r="C108" s="5" t="inlineStr">
        <is>
          <t>L-03</t>
        </is>
      </c>
      <c r="D108" s="5" t="inlineStr">
        <is>
          <t>PRD-B</t>
        </is>
      </c>
      <c r="E108" s="5" t="n">
        <v>174.4</v>
      </c>
      <c r="F108" s="5" t="n">
        <v>6.01</v>
      </c>
      <c r="G108" s="5" t="n">
        <v>56.6</v>
      </c>
      <c r="H108" s="5" t="inlineStr">
        <is>
          <t>W001</t>
        </is>
      </c>
      <c r="I108" s="5" t="n">
        <v>1441</v>
      </c>
      <c r="J108" s="5" t="n">
        <v>59</v>
      </c>
      <c r="K108" s="6">
        <f>IF(I108=0,0,J108/I108)</f>
        <v/>
      </c>
    </row>
    <row r="109">
      <c r="A109" s="3" t="inlineStr">
        <is>
          <t>B2024107</t>
        </is>
      </c>
      <c r="B109" s="3" t="inlineStr">
        <is>
          <t>2024-02-21</t>
        </is>
      </c>
      <c r="C109" s="3" t="inlineStr">
        <is>
          <t>L-02</t>
        </is>
      </c>
      <c r="D109" s="3" t="inlineStr">
        <is>
          <t>PRD-C</t>
        </is>
      </c>
      <c r="E109" s="3" t="n">
        <v>182.9</v>
      </c>
      <c r="F109" s="3" t="n">
        <v>5.74</v>
      </c>
      <c r="G109" s="3" t="n">
        <v>46.4</v>
      </c>
      <c r="H109" s="3" t="inlineStr">
        <is>
          <t>W004</t>
        </is>
      </c>
      <c r="I109" s="3" t="n">
        <v>1703</v>
      </c>
      <c r="J109" s="3" t="n">
        <v>38</v>
      </c>
      <c r="K109" s="4">
        <f>IF(I109=0,0,J109/I109)</f>
        <v/>
      </c>
    </row>
    <row r="110">
      <c r="A110" s="5" t="inlineStr">
        <is>
          <t>B2024108</t>
        </is>
      </c>
      <c r="B110" s="5" t="inlineStr">
        <is>
          <t>2024-01-13</t>
        </is>
      </c>
      <c r="C110" s="5" t="inlineStr">
        <is>
          <t>L-03</t>
        </is>
      </c>
      <c r="D110" s="5" t="inlineStr">
        <is>
          <t>PRD-C</t>
        </is>
      </c>
      <c r="E110" s="5" t="n">
        <v>178.5</v>
      </c>
      <c r="F110" s="5" t="n">
        <v>6.11</v>
      </c>
      <c r="G110" s="5" t="n">
        <v>74.59999999999999</v>
      </c>
      <c r="H110" s="5" t="inlineStr">
        <is>
          <t>W005</t>
        </is>
      </c>
      <c r="I110" s="5" t="n">
        <v>718</v>
      </c>
      <c r="J110" s="5" t="n">
        <v>32</v>
      </c>
      <c r="K110" s="6">
        <f>IF(I110=0,0,J110/I110)</f>
        <v/>
      </c>
    </row>
    <row r="111">
      <c r="A111" s="3" t="inlineStr">
        <is>
          <t>B2024109</t>
        </is>
      </c>
      <c r="B111" s="3" t="inlineStr">
        <is>
          <t>2024-01-19</t>
        </is>
      </c>
      <c r="C111" s="3" t="inlineStr">
        <is>
          <t>L-02</t>
        </is>
      </c>
      <c r="D111" s="3" t="inlineStr">
        <is>
          <t>PRD-C</t>
        </is>
      </c>
      <c r="E111" s="3" t="n">
        <v>191.7</v>
      </c>
      <c r="F111" s="3" t="n">
        <v>5.98</v>
      </c>
      <c r="G111" s="3" t="n">
        <v>69.5</v>
      </c>
      <c r="H111" s="3" t="inlineStr">
        <is>
          <t>W001</t>
        </is>
      </c>
      <c r="I111" s="3" t="n">
        <v>1062</v>
      </c>
      <c r="J111" s="3" t="n">
        <v>67</v>
      </c>
      <c r="K111" s="4">
        <f>IF(I111=0,0,J111/I111)</f>
        <v/>
      </c>
    </row>
    <row r="112">
      <c r="A112" s="5" t="inlineStr">
        <is>
          <t>B2024110</t>
        </is>
      </c>
      <c r="B112" s="5" t="inlineStr">
        <is>
          <t>2024-01-21</t>
        </is>
      </c>
      <c r="C112" s="5" t="inlineStr">
        <is>
          <t>L-03</t>
        </is>
      </c>
      <c r="D112" s="5" t="inlineStr">
        <is>
          <t>PRD-D</t>
        </is>
      </c>
      <c r="E112" s="5" t="n">
        <v>193.6</v>
      </c>
      <c r="F112" s="5" t="n">
        <v>5.06</v>
      </c>
      <c r="G112" s="5" t="n">
        <v>56.2</v>
      </c>
      <c r="H112" s="5" t="inlineStr">
        <is>
          <t>W002</t>
        </is>
      </c>
      <c r="I112" s="5" t="n">
        <v>1221</v>
      </c>
      <c r="J112" s="5" t="n">
        <v>90</v>
      </c>
      <c r="K112" s="6">
        <f>IF(I112=0,0,J112/I112)</f>
        <v/>
      </c>
    </row>
    <row r="113">
      <c r="A113" s="3" t="inlineStr">
        <is>
          <t>B2024111</t>
        </is>
      </c>
      <c r="B113" s="3" t="inlineStr">
        <is>
          <t>2024-01-21</t>
        </is>
      </c>
      <c r="C113" s="3" t="inlineStr">
        <is>
          <t>L-03</t>
        </is>
      </c>
      <c r="D113" s="3" t="inlineStr">
        <is>
          <t>PRD-C</t>
        </is>
      </c>
      <c r="E113" s="3" t="n">
        <v>179.4</v>
      </c>
      <c r="F113" s="3" t="n">
        <v>5.28</v>
      </c>
      <c r="G113" s="3" t="n">
        <v>44.7</v>
      </c>
      <c r="H113" s="3" t="inlineStr">
        <is>
          <t>W001</t>
        </is>
      </c>
      <c r="I113" s="3" t="n">
        <v>1786</v>
      </c>
      <c r="J113" s="3" t="n">
        <v>66</v>
      </c>
      <c r="K113" s="4">
        <f>IF(I113=0,0,J113/I113)</f>
        <v/>
      </c>
    </row>
    <row r="114">
      <c r="A114" s="5" t="inlineStr">
        <is>
          <t>B2024112</t>
        </is>
      </c>
      <c r="B114" s="5" t="inlineStr">
        <is>
          <t>2024-03-14</t>
        </is>
      </c>
      <c r="C114" s="5" t="inlineStr">
        <is>
          <t>L-02</t>
        </is>
      </c>
      <c r="D114" s="5" t="inlineStr">
        <is>
          <t>PRD-D</t>
        </is>
      </c>
      <c r="E114" s="5" t="n">
        <v>192.5</v>
      </c>
      <c r="F114" s="5" t="n">
        <v>6.1</v>
      </c>
      <c r="G114" s="5" t="n">
        <v>69.90000000000001</v>
      </c>
      <c r="H114" s="5" t="inlineStr">
        <is>
          <t>W002</t>
        </is>
      </c>
      <c r="I114" s="5" t="n">
        <v>1169</v>
      </c>
      <c r="J114" s="5" t="n">
        <v>91</v>
      </c>
      <c r="K114" s="6">
        <f>IF(I114=0,0,J114/I114)</f>
        <v/>
      </c>
    </row>
    <row r="115">
      <c r="A115" s="3" t="inlineStr">
        <is>
          <t>B2024113</t>
        </is>
      </c>
      <c r="B115" s="3" t="inlineStr">
        <is>
          <t>2024-01-09</t>
        </is>
      </c>
      <c r="C115" s="3" t="inlineStr">
        <is>
          <t>L-01</t>
        </is>
      </c>
      <c r="D115" s="3" t="inlineStr">
        <is>
          <t>PRD-B</t>
        </is>
      </c>
      <c r="E115" s="3" t="n">
        <v>188.7</v>
      </c>
      <c r="F115" s="3" t="n">
        <v>5</v>
      </c>
      <c r="G115" s="3" t="n">
        <v>47.1</v>
      </c>
      <c r="H115" s="3" t="inlineStr">
        <is>
          <t>W004</t>
        </is>
      </c>
      <c r="I115" s="3" t="n">
        <v>1058</v>
      </c>
      <c r="J115" s="3" t="n">
        <v>49</v>
      </c>
      <c r="K115" s="4">
        <f>IF(I115=0,0,J115/I115)</f>
        <v/>
      </c>
    </row>
    <row r="116">
      <c r="A116" s="5" t="inlineStr">
        <is>
          <t>B2024114</t>
        </is>
      </c>
      <c r="B116" s="5" t="inlineStr">
        <is>
          <t>2024-03-24</t>
        </is>
      </c>
      <c r="C116" s="5" t="inlineStr">
        <is>
          <t>L-02</t>
        </is>
      </c>
      <c r="D116" s="5" t="inlineStr">
        <is>
          <t>PRD-C</t>
        </is>
      </c>
      <c r="E116" s="5" t="n">
        <v>188</v>
      </c>
      <c r="F116" s="5" t="n">
        <v>5.47</v>
      </c>
      <c r="G116" s="5" t="n">
        <v>69.90000000000001</v>
      </c>
      <c r="H116" s="5" t="inlineStr">
        <is>
          <t>W004</t>
        </is>
      </c>
      <c r="I116" s="5" t="n">
        <v>962</v>
      </c>
      <c r="J116" s="5" t="n">
        <v>58</v>
      </c>
      <c r="K116" s="6">
        <f>IF(I116=0,0,J116/I116)</f>
        <v/>
      </c>
    </row>
    <row r="117">
      <c r="A117" s="3" t="inlineStr">
        <is>
          <t>B2024115</t>
        </is>
      </c>
      <c r="B117" s="3" t="inlineStr">
        <is>
          <t>2024-03-24</t>
        </is>
      </c>
      <c r="C117" s="3" t="inlineStr">
        <is>
          <t>L-03</t>
        </is>
      </c>
      <c r="D117" s="3" t="inlineStr">
        <is>
          <t>PRD-C</t>
        </is>
      </c>
      <c r="E117" s="3" t="n">
        <v>191.8</v>
      </c>
      <c r="F117" s="3" t="n">
        <v>6.27</v>
      </c>
      <c r="G117" s="3" t="n">
        <v>54.5</v>
      </c>
      <c r="H117" s="3" t="inlineStr">
        <is>
          <t>W003</t>
        </is>
      </c>
      <c r="I117" s="3" t="n">
        <v>1254</v>
      </c>
      <c r="J117" s="3" t="n">
        <v>80</v>
      </c>
      <c r="K117" s="4">
        <f>IF(I117=0,0,J117/I117)</f>
        <v/>
      </c>
    </row>
    <row r="118">
      <c r="A118" s="5" t="inlineStr">
        <is>
          <t>B2024116</t>
        </is>
      </c>
      <c r="B118" s="5" t="inlineStr">
        <is>
          <t>2024-03-18</t>
        </is>
      </c>
      <c r="C118" s="5" t="inlineStr">
        <is>
          <t>L-03</t>
        </is>
      </c>
      <c r="D118" s="5" t="inlineStr">
        <is>
          <t>PRD-D</t>
        </is>
      </c>
      <c r="E118" s="5" t="n">
        <v>193.3</v>
      </c>
      <c r="F118" s="5" t="n">
        <v>4.93</v>
      </c>
      <c r="G118" s="5" t="n">
        <v>60.7</v>
      </c>
      <c r="H118" s="5" t="inlineStr">
        <is>
          <t>W003</t>
        </is>
      </c>
      <c r="I118" s="5" t="n">
        <v>551</v>
      </c>
      <c r="J118" s="5" t="n">
        <v>46</v>
      </c>
      <c r="K118" s="6">
        <f>IF(I118=0,0,J118/I118)</f>
        <v/>
      </c>
    </row>
    <row r="119">
      <c r="A119" s="3" t="inlineStr">
        <is>
          <t>B2024117</t>
        </is>
      </c>
      <c r="B119" s="3" t="inlineStr">
        <is>
          <t>2024-02-04</t>
        </is>
      </c>
      <c r="C119" s="3" t="inlineStr">
        <is>
          <t>L-03</t>
        </is>
      </c>
      <c r="D119" s="3" t="inlineStr">
        <is>
          <t>PRD-B</t>
        </is>
      </c>
      <c r="E119" s="3" t="n">
        <v>178.2</v>
      </c>
      <c r="F119" s="3" t="n">
        <v>5.43</v>
      </c>
      <c r="G119" s="3" t="n">
        <v>39.8</v>
      </c>
      <c r="H119" s="3" t="inlineStr">
        <is>
          <t>W002</t>
        </is>
      </c>
      <c r="I119" s="3" t="n">
        <v>1829</v>
      </c>
      <c r="J119" s="3" t="n">
        <v>96</v>
      </c>
      <c r="K119" s="4">
        <f>IF(I119=0,0,J119/I119)</f>
        <v/>
      </c>
    </row>
    <row r="120">
      <c r="A120" s="5" t="inlineStr">
        <is>
          <t>B2024118</t>
        </is>
      </c>
      <c r="B120" s="5" t="inlineStr">
        <is>
          <t>2024-02-15</t>
        </is>
      </c>
      <c r="C120" s="5" t="inlineStr">
        <is>
          <t>L-01</t>
        </is>
      </c>
      <c r="D120" s="5" t="inlineStr">
        <is>
          <t>PRD-A</t>
        </is>
      </c>
      <c r="E120" s="5" t="n">
        <v>181.9</v>
      </c>
      <c r="F120" s="5" t="n">
        <v>6.55</v>
      </c>
      <c r="G120" s="5" t="n">
        <v>72.09999999999999</v>
      </c>
      <c r="H120" s="5" t="inlineStr">
        <is>
          <t>W003</t>
        </is>
      </c>
      <c r="I120" s="5" t="n">
        <v>777</v>
      </c>
      <c r="J120" s="5" t="n">
        <v>34</v>
      </c>
      <c r="K120" s="6">
        <f>IF(I120=0,0,J120/I120)</f>
        <v/>
      </c>
    </row>
    <row r="121">
      <c r="A121" s="3" t="inlineStr">
        <is>
          <t>B2024119</t>
        </is>
      </c>
      <c r="B121" s="3" t="inlineStr">
        <is>
          <t>2024-03-14</t>
        </is>
      </c>
      <c r="C121" s="3" t="inlineStr">
        <is>
          <t>L-03</t>
        </is>
      </c>
      <c r="D121" s="3" t="inlineStr">
        <is>
          <t>PRD-D</t>
        </is>
      </c>
      <c r="E121" s="3" t="n">
        <v>174</v>
      </c>
      <c r="F121" s="3" t="n">
        <v>5.58</v>
      </c>
      <c r="G121" s="3" t="n">
        <v>66</v>
      </c>
      <c r="H121" s="3" t="inlineStr">
        <is>
          <t>W003</t>
        </is>
      </c>
      <c r="I121" s="3" t="n">
        <v>1502</v>
      </c>
      <c r="J121" s="3" t="n">
        <v>56</v>
      </c>
      <c r="K121" s="4">
        <f>IF(I121=0,0,J121/I121)</f>
        <v/>
      </c>
    </row>
    <row r="122">
      <c r="A122" s="5" t="inlineStr">
        <is>
          <t>B2024120</t>
        </is>
      </c>
      <c r="B122" s="5" t="inlineStr">
        <is>
          <t>2024-02-18</t>
        </is>
      </c>
      <c r="C122" s="5" t="inlineStr">
        <is>
          <t>L-01</t>
        </is>
      </c>
      <c r="D122" s="5" t="inlineStr">
        <is>
          <t>PRD-C</t>
        </is>
      </c>
      <c r="E122" s="5" t="n">
        <v>186.8</v>
      </c>
      <c r="F122" s="5" t="n">
        <v>6.53</v>
      </c>
      <c r="G122" s="5" t="n">
        <v>55.8</v>
      </c>
      <c r="H122" s="5" t="inlineStr">
        <is>
          <t>W003</t>
        </is>
      </c>
      <c r="I122" s="5" t="n">
        <v>1904</v>
      </c>
      <c r="J122" s="5" t="n">
        <v>52</v>
      </c>
      <c r="K122" s="6">
        <f>IF(I122=0,0,J122/I122)</f>
        <v/>
      </c>
    </row>
    <row r="123">
      <c r="A123" s="3" t="inlineStr">
        <is>
          <t>B2024121</t>
        </is>
      </c>
      <c r="B123" s="3" t="inlineStr">
        <is>
          <t>2024-03-07</t>
        </is>
      </c>
      <c r="C123" s="3" t="inlineStr">
        <is>
          <t>L-01</t>
        </is>
      </c>
      <c r="D123" s="3" t="inlineStr">
        <is>
          <t>PRD-D</t>
        </is>
      </c>
      <c r="E123" s="3" t="n">
        <v>181.6</v>
      </c>
      <c r="F123" s="3" t="n">
        <v>7.3</v>
      </c>
      <c r="G123" s="3" t="n">
        <v>72.7</v>
      </c>
      <c r="H123" s="3" t="inlineStr">
        <is>
          <t>W005</t>
        </is>
      </c>
      <c r="I123" s="3" t="n">
        <v>687</v>
      </c>
      <c r="J123" s="3" t="n">
        <v>20</v>
      </c>
      <c r="K123" s="4">
        <f>IF(I123=0,0,J123/I123)</f>
        <v/>
      </c>
    </row>
    <row r="124">
      <c r="A124" s="5" t="inlineStr">
        <is>
          <t>B2024122</t>
        </is>
      </c>
      <c r="B124" s="5" t="inlineStr">
        <is>
          <t>2024-03-07</t>
        </is>
      </c>
      <c r="C124" s="5" t="inlineStr">
        <is>
          <t>L-01</t>
        </is>
      </c>
      <c r="D124" s="5" t="inlineStr">
        <is>
          <t>PRD-A</t>
        </is>
      </c>
      <c r="E124" s="5" t="n">
        <v>186.4</v>
      </c>
      <c r="F124" s="5" t="n">
        <v>5.64</v>
      </c>
      <c r="G124" s="5" t="n">
        <v>64.09999999999999</v>
      </c>
      <c r="H124" s="5" t="inlineStr">
        <is>
          <t>W005</t>
        </is>
      </c>
      <c r="I124" s="5" t="n">
        <v>640</v>
      </c>
      <c r="J124" s="5" t="n">
        <v>17</v>
      </c>
      <c r="K124" s="6">
        <f>IF(I124=0,0,J124/I124)</f>
        <v/>
      </c>
    </row>
    <row r="125">
      <c r="A125" s="3" t="inlineStr">
        <is>
          <t>B2024123</t>
        </is>
      </c>
      <c r="B125" s="3" t="inlineStr">
        <is>
          <t>2024-01-18</t>
        </is>
      </c>
      <c r="C125" s="3" t="inlineStr">
        <is>
          <t>L-01</t>
        </is>
      </c>
      <c r="D125" s="3" t="inlineStr">
        <is>
          <t>PRD-B</t>
        </is>
      </c>
      <c r="E125" s="3" t="n">
        <v>182.9</v>
      </c>
      <c r="F125" s="3" t="n">
        <v>6.25</v>
      </c>
      <c r="G125" s="3" t="n">
        <v>55.6</v>
      </c>
      <c r="H125" s="3" t="inlineStr">
        <is>
          <t>W003</t>
        </is>
      </c>
      <c r="I125" s="3" t="n">
        <v>796</v>
      </c>
      <c r="J125" s="3" t="n">
        <v>15</v>
      </c>
      <c r="K125" s="4">
        <f>IF(I125=0,0,J125/I125)</f>
        <v/>
      </c>
    </row>
    <row r="126">
      <c r="A126" s="5" t="inlineStr">
        <is>
          <t>B2024124</t>
        </is>
      </c>
      <c r="B126" s="5" t="inlineStr">
        <is>
          <t>2024-03-11</t>
        </is>
      </c>
      <c r="C126" s="5" t="inlineStr">
        <is>
          <t>L-01</t>
        </is>
      </c>
      <c r="D126" s="5" t="inlineStr">
        <is>
          <t>PRD-A</t>
        </is>
      </c>
      <c r="E126" s="5" t="n">
        <v>184</v>
      </c>
      <c r="F126" s="5" t="n">
        <v>5.9</v>
      </c>
      <c r="G126" s="5" t="n">
        <v>72.59999999999999</v>
      </c>
      <c r="H126" s="5" t="inlineStr">
        <is>
          <t>W001</t>
        </is>
      </c>
      <c r="I126" s="5" t="n">
        <v>987</v>
      </c>
      <c r="J126" s="5" t="n">
        <v>35</v>
      </c>
      <c r="K126" s="6">
        <f>IF(I126=0,0,J126/I126)</f>
        <v/>
      </c>
    </row>
    <row r="127">
      <c r="A127" s="3" t="inlineStr">
        <is>
          <t>B2024125</t>
        </is>
      </c>
      <c r="B127" s="3" t="inlineStr">
        <is>
          <t>2024-02-25</t>
        </is>
      </c>
      <c r="C127" s="3" t="inlineStr">
        <is>
          <t>L-01</t>
        </is>
      </c>
      <c r="D127" s="3" t="inlineStr">
        <is>
          <t>PRD-C</t>
        </is>
      </c>
      <c r="E127" s="3" t="n">
        <v>197.5</v>
      </c>
      <c r="F127" s="3" t="n">
        <v>6.27</v>
      </c>
      <c r="G127" s="3" t="n">
        <v>38.7</v>
      </c>
      <c r="H127" s="3" t="inlineStr">
        <is>
          <t>W003</t>
        </is>
      </c>
      <c r="I127" s="3" t="n">
        <v>1475</v>
      </c>
      <c r="J127" s="3" t="n">
        <v>70</v>
      </c>
      <c r="K127" s="4">
        <f>IF(I127=0,0,J127/I127)</f>
        <v/>
      </c>
    </row>
    <row r="128">
      <c r="A128" s="5" t="inlineStr">
        <is>
          <t>B2024126</t>
        </is>
      </c>
      <c r="B128" s="5" t="inlineStr">
        <is>
          <t>2024-03-10</t>
        </is>
      </c>
      <c r="C128" s="5" t="inlineStr">
        <is>
          <t>L-03</t>
        </is>
      </c>
      <c r="D128" s="5" t="inlineStr">
        <is>
          <t>PRD-A</t>
        </is>
      </c>
      <c r="E128" s="5" t="n">
        <v>179.6</v>
      </c>
      <c r="F128" s="5" t="n">
        <v>6.11</v>
      </c>
      <c r="G128" s="5" t="n">
        <v>42.9</v>
      </c>
      <c r="H128" s="5" t="inlineStr">
        <is>
          <t>W004</t>
        </is>
      </c>
      <c r="I128" s="5" t="n">
        <v>1849</v>
      </c>
      <c r="J128" s="5" t="n">
        <v>39</v>
      </c>
      <c r="K128" s="6">
        <f>IF(I128=0,0,J128/I128)</f>
        <v/>
      </c>
    </row>
    <row r="129">
      <c r="A129" s="3" t="inlineStr">
        <is>
          <t>B2024127</t>
        </is>
      </c>
      <c r="B129" s="3" t="inlineStr">
        <is>
          <t>2024-03-15</t>
        </is>
      </c>
      <c r="C129" s="3" t="inlineStr">
        <is>
          <t>L-03</t>
        </is>
      </c>
      <c r="D129" s="3" t="inlineStr">
        <is>
          <t>PRD-A</t>
        </is>
      </c>
      <c r="E129" s="3" t="n">
        <v>193.5</v>
      </c>
      <c r="F129" s="3" t="n">
        <v>6.21</v>
      </c>
      <c r="G129" s="3" t="n">
        <v>42.6</v>
      </c>
      <c r="H129" s="3" t="inlineStr">
        <is>
          <t>W001</t>
        </is>
      </c>
      <c r="I129" s="3" t="n">
        <v>1504</v>
      </c>
      <c r="J129" s="3" t="n">
        <v>100</v>
      </c>
      <c r="K129" s="4">
        <f>IF(I129=0,0,J129/I129)</f>
        <v/>
      </c>
    </row>
    <row r="130">
      <c r="A130" s="5" t="inlineStr">
        <is>
          <t>B2024128</t>
        </is>
      </c>
      <c r="B130" s="5" t="inlineStr">
        <is>
          <t>2024-03-11</t>
        </is>
      </c>
      <c r="C130" s="5" t="inlineStr">
        <is>
          <t>L-01</t>
        </is>
      </c>
      <c r="D130" s="5" t="inlineStr">
        <is>
          <t>PRD-C</t>
        </is>
      </c>
      <c r="E130" s="5" t="n">
        <v>182.7</v>
      </c>
      <c r="F130" s="5" t="n">
        <v>5.88</v>
      </c>
      <c r="G130" s="5" t="n">
        <v>52.8</v>
      </c>
      <c r="H130" s="5" t="inlineStr">
        <is>
          <t>W004</t>
        </is>
      </c>
      <c r="I130" s="5" t="n">
        <v>1623</v>
      </c>
      <c r="J130" s="5" t="n">
        <v>50</v>
      </c>
      <c r="K130" s="6">
        <f>IF(I130=0,0,J130/I130)</f>
        <v/>
      </c>
    </row>
    <row r="131">
      <c r="A131" s="3" t="inlineStr">
        <is>
          <t>B2024129</t>
        </is>
      </c>
      <c r="B131" s="3" t="inlineStr">
        <is>
          <t>2024-03-25</t>
        </is>
      </c>
      <c r="C131" s="3" t="inlineStr">
        <is>
          <t>L-03</t>
        </is>
      </c>
      <c r="D131" s="3" t="inlineStr">
        <is>
          <t>PRD-C</t>
        </is>
      </c>
      <c r="E131" s="3" t="n">
        <v>174.5</v>
      </c>
      <c r="F131" s="3" t="n">
        <v>6.2</v>
      </c>
      <c r="G131" s="3" t="n">
        <v>67.59999999999999</v>
      </c>
      <c r="H131" s="3" t="inlineStr">
        <is>
          <t>W005</t>
        </is>
      </c>
      <c r="I131" s="3" t="n">
        <v>1840</v>
      </c>
      <c r="J131" s="3" t="n">
        <v>96</v>
      </c>
      <c r="K131" s="4">
        <f>IF(I131=0,0,J131/I131)</f>
        <v/>
      </c>
    </row>
    <row r="132">
      <c r="A132" s="5" t="inlineStr">
        <is>
          <t>B2024130</t>
        </is>
      </c>
      <c r="B132" s="5" t="inlineStr">
        <is>
          <t>2024-02-24</t>
        </is>
      </c>
      <c r="C132" s="5" t="inlineStr">
        <is>
          <t>L-03</t>
        </is>
      </c>
      <c r="D132" s="5" t="inlineStr">
        <is>
          <t>PRD-B</t>
        </is>
      </c>
      <c r="E132" s="5" t="n">
        <v>169.8</v>
      </c>
      <c r="F132" s="5" t="n">
        <v>6.45</v>
      </c>
      <c r="G132" s="5" t="n">
        <v>38.9</v>
      </c>
      <c r="H132" s="5" t="inlineStr">
        <is>
          <t>W001</t>
        </is>
      </c>
      <c r="I132" s="5" t="n">
        <v>1316</v>
      </c>
      <c r="J132" s="5" t="n">
        <v>49</v>
      </c>
      <c r="K132" s="6">
        <f>IF(I132=0,0,J132/I132)</f>
        <v/>
      </c>
    </row>
    <row r="133">
      <c r="A133" s="3" t="inlineStr">
        <is>
          <t>B2024131</t>
        </is>
      </c>
      <c r="B133" s="3" t="inlineStr">
        <is>
          <t>2024-01-03</t>
        </is>
      </c>
      <c r="C133" s="3" t="inlineStr">
        <is>
          <t>L-02</t>
        </is>
      </c>
      <c r="D133" s="3" t="inlineStr">
        <is>
          <t>PRD-D</t>
        </is>
      </c>
      <c r="E133" s="3" t="n">
        <v>182.7</v>
      </c>
      <c r="F133" s="3" t="n">
        <v>6.35</v>
      </c>
      <c r="G133" s="3" t="n">
        <v>69.59999999999999</v>
      </c>
      <c r="H133" s="3" t="inlineStr">
        <is>
          <t>W001</t>
        </is>
      </c>
      <c r="I133" s="3" t="n">
        <v>1471</v>
      </c>
      <c r="J133" s="3" t="n">
        <v>46</v>
      </c>
      <c r="K133" s="4">
        <f>IF(I133=0,0,J133/I133)</f>
        <v/>
      </c>
    </row>
    <row r="134">
      <c r="A134" s="5" t="inlineStr">
        <is>
          <t>B2024132</t>
        </is>
      </c>
      <c r="B134" s="5" t="inlineStr">
        <is>
          <t>2024-03-18</t>
        </is>
      </c>
      <c r="C134" s="5" t="inlineStr">
        <is>
          <t>L-01</t>
        </is>
      </c>
      <c r="D134" s="5" t="inlineStr">
        <is>
          <t>PRD-D</t>
        </is>
      </c>
      <c r="E134" s="5" t="n">
        <v>195.8</v>
      </c>
      <c r="F134" s="5" t="n">
        <v>6.47</v>
      </c>
      <c r="G134" s="5" t="n">
        <v>59.8</v>
      </c>
      <c r="H134" s="5" t="inlineStr">
        <is>
          <t>W003</t>
        </is>
      </c>
      <c r="I134" s="5" t="n">
        <v>1701</v>
      </c>
      <c r="J134" s="5" t="n">
        <v>68</v>
      </c>
      <c r="K134" s="6">
        <f>IF(I134=0,0,J134/I134)</f>
        <v/>
      </c>
    </row>
    <row r="135">
      <c r="A135" s="3" t="inlineStr">
        <is>
          <t>B2024133</t>
        </is>
      </c>
      <c r="B135" s="3" t="inlineStr">
        <is>
          <t>2024-01-10</t>
        </is>
      </c>
      <c r="C135" s="3" t="inlineStr">
        <is>
          <t>L-03</t>
        </is>
      </c>
      <c r="D135" s="3" t="inlineStr">
        <is>
          <t>PRD-A</t>
        </is>
      </c>
      <c r="E135" s="3" t="n">
        <v>171.2</v>
      </c>
      <c r="F135" s="3" t="n">
        <v>6.54</v>
      </c>
      <c r="G135" s="3" t="n">
        <v>64.8</v>
      </c>
      <c r="H135" s="3" t="inlineStr">
        <is>
          <t>W005</t>
        </is>
      </c>
      <c r="I135" s="3" t="n">
        <v>1976</v>
      </c>
      <c r="J135" s="3" t="n">
        <v>53</v>
      </c>
      <c r="K135" s="4">
        <f>IF(I135=0,0,J135/I135)</f>
        <v/>
      </c>
    </row>
    <row r="136">
      <c r="A136" s="5" t="inlineStr">
        <is>
          <t>B2024134</t>
        </is>
      </c>
      <c r="B136" s="5" t="inlineStr">
        <is>
          <t>2024-02-28</t>
        </is>
      </c>
      <c r="C136" s="5" t="inlineStr">
        <is>
          <t>L-02</t>
        </is>
      </c>
      <c r="D136" s="5" t="inlineStr">
        <is>
          <t>PRD-C</t>
        </is>
      </c>
      <c r="E136" s="5" t="n">
        <v>192.6</v>
      </c>
      <c r="F136" s="5" t="n">
        <v>6.36</v>
      </c>
      <c r="G136" s="5" t="n">
        <v>61.5</v>
      </c>
      <c r="H136" s="5" t="inlineStr">
        <is>
          <t>W005</t>
        </is>
      </c>
      <c r="I136" s="5" t="n">
        <v>721</v>
      </c>
      <c r="J136" s="5" t="n">
        <v>41</v>
      </c>
      <c r="K136" s="6">
        <f>IF(I136=0,0,J136/I136)</f>
        <v/>
      </c>
    </row>
    <row r="137">
      <c r="A137" s="3" t="inlineStr">
        <is>
          <t>B2024135</t>
        </is>
      </c>
      <c r="B137" s="3" t="inlineStr">
        <is>
          <t>2024-03-22</t>
        </is>
      </c>
      <c r="C137" s="3" t="inlineStr">
        <is>
          <t>L-02</t>
        </is>
      </c>
      <c r="D137" s="3" t="inlineStr">
        <is>
          <t>PRD-A</t>
        </is>
      </c>
      <c r="E137" s="3" t="n">
        <v>185.8</v>
      </c>
      <c r="F137" s="3" t="n">
        <v>5.35</v>
      </c>
      <c r="G137" s="3" t="n">
        <v>61.8</v>
      </c>
      <c r="H137" s="3" t="inlineStr">
        <is>
          <t>W005</t>
        </is>
      </c>
      <c r="I137" s="3" t="n">
        <v>1773</v>
      </c>
      <c r="J137" s="3" t="n">
        <v>45</v>
      </c>
      <c r="K137" s="4">
        <f>IF(I137=0,0,J137/I137)</f>
        <v/>
      </c>
    </row>
    <row r="138">
      <c r="A138" s="5" t="inlineStr">
        <is>
          <t>B2024136</t>
        </is>
      </c>
      <c r="B138" s="5" t="inlineStr">
        <is>
          <t>2024-01-06</t>
        </is>
      </c>
      <c r="C138" s="5" t="inlineStr">
        <is>
          <t>L-01</t>
        </is>
      </c>
      <c r="D138" s="5" t="inlineStr">
        <is>
          <t>PRD-C</t>
        </is>
      </c>
      <c r="E138" s="5" t="n">
        <v>191.3</v>
      </c>
      <c r="F138" s="5" t="n">
        <v>6.07</v>
      </c>
      <c r="G138" s="5" t="n">
        <v>56.8</v>
      </c>
      <c r="H138" s="5" t="inlineStr">
        <is>
          <t>W002</t>
        </is>
      </c>
      <c r="I138" s="5" t="n">
        <v>1218</v>
      </c>
      <c r="J138" s="5" t="n">
        <v>38</v>
      </c>
      <c r="K138" s="6">
        <f>IF(I138=0,0,J138/I138)</f>
        <v/>
      </c>
    </row>
    <row r="139">
      <c r="A139" s="3" t="inlineStr">
        <is>
          <t>B2024137</t>
        </is>
      </c>
      <c r="B139" s="3" t="inlineStr">
        <is>
          <t>2024-01-13</t>
        </is>
      </c>
      <c r="C139" s="3" t="inlineStr">
        <is>
          <t>L-03</t>
        </is>
      </c>
      <c r="D139" s="3" t="inlineStr">
        <is>
          <t>PRD-D</t>
        </is>
      </c>
      <c r="E139" s="3" t="n">
        <v>196.9</v>
      </c>
      <c r="F139" s="3" t="n">
        <v>6.35</v>
      </c>
      <c r="G139" s="3" t="n">
        <v>59.3</v>
      </c>
      <c r="H139" s="3" t="inlineStr">
        <is>
          <t>W004</t>
        </is>
      </c>
      <c r="I139" s="3" t="n">
        <v>1586</v>
      </c>
      <c r="J139" s="3" t="n">
        <v>94</v>
      </c>
      <c r="K139" s="4">
        <f>IF(I139=0,0,J139/I139)</f>
        <v/>
      </c>
    </row>
    <row r="140">
      <c r="A140" s="5" t="inlineStr">
        <is>
          <t>B2024138</t>
        </is>
      </c>
      <c r="B140" s="5" t="inlineStr">
        <is>
          <t>2024-01-02</t>
        </is>
      </c>
      <c r="C140" s="5" t="inlineStr">
        <is>
          <t>L-02</t>
        </is>
      </c>
      <c r="D140" s="5" t="inlineStr">
        <is>
          <t>PRD-C</t>
        </is>
      </c>
      <c r="E140" s="5" t="n">
        <v>188.8</v>
      </c>
      <c r="F140" s="5" t="n">
        <v>6.36</v>
      </c>
      <c r="G140" s="5" t="n">
        <v>44.3</v>
      </c>
      <c r="H140" s="5" t="inlineStr">
        <is>
          <t>W002</t>
        </is>
      </c>
      <c r="I140" s="5" t="n">
        <v>1721</v>
      </c>
      <c r="J140" s="5" t="n">
        <v>63</v>
      </c>
      <c r="K140" s="6">
        <f>IF(I140=0,0,J140/I140)</f>
        <v/>
      </c>
    </row>
    <row r="141">
      <c r="A141" s="3" t="inlineStr">
        <is>
          <t>B2024139</t>
        </is>
      </c>
      <c r="B141" s="3" t="inlineStr">
        <is>
          <t>2024-02-09</t>
        </is>
      </c>
      <c r="C141" s="3" t="inlineStr">
        <is>
          <t>L-01</t>
        </is>
      </c>
      <c r="D141" s="3" t="inlineStr">
        <is>
          <t>PRD-A</t>
        </is>
      </c>
      <c r="E141" s="3" t="n">
        <v>182.1</v>
      </c>
      <c r="F141" s="3" t="n">
        <v>5.65</v>
      </c>
      <c r="G141" s="3" t="n">
        <v>48.9</v>
      </c>
      <c r="H141" s="3" t="inlineStr">
        <is>
          <t>W002</t>
        </is>
      </c>
      <c r="I141" s="3" t="n">
        <v>1405</v>
      </c>
      <c r="J141" s="3" t="n">
        <v>17</v>
      </c>
      <c r="K141" s="4">
        <f>IF(I141=0,0,J141/I141)</f>
        <v/>
      </c>
    </row>
    <row r="142">
      <c r="A142" s="5" t="inlineStr">
        <is>
          <t>B2024140</t>
        </is>
      </c>
      <c r="B142" s="5" t="inlineStr">
        <is>
          <t>2024-03-10</t>
        </is>
      </c>
      <c r="C142" s="5" t="inlineStr">
        <is>
          <t>L-03</t>
        </is>
      </c>
      <c r="D142" s="5" t="inlineStr">
        <is>
          <t>PRD-A</t>
        </is>
      </c>
      <c r="E142" s="5" t="n">
        <v>182.8</v>
      </c>
      <c r="F142" s="5" t="n">
        <v>6.2</v>
      </c>
      <c r="G142" s="5" t="n">
        <v>49.2</v>
      </c>
      <c r="H142" s="5" t="inlineStr">
        <is>
          <t>W001</t>
        </is>
      </c>
      <c r="I142" s="5" t="n">
        <v>1579</v>
      </c>
      <c r="J142" s="5" t="n">
        <v>32</v>
      </c>
      <c r="K142" s="6">
        <f>IF(I142=0,0,J142/I142)</f>
        <v/>
      </c>
    </row>
    <row r="143">
      <c r="A143" s="3" t="inlineStr">
        <is>
          <t>B2024141</t>
        </is>
      </c>
      <c r="B143" s="3" t="inlineStr">
        <is>
          <t>2024-02-10</t>
        </is>
      </c>
      <c r="C143" s="3" t="inlineStr">
        <is>
          <t>L-01</t>
        </is>
      </c>
      <c r="D143" s="3" t="inlineStr">
        <is>
          <t>PRD-D</t>
        </is>
      </c>
      <c r="E143" s="3" t="n">
        <v>187.7</v>
      </c>
      <c r="F143" s="3" t="n">
        <v>5.98</v>
      </c>
      <c r="G143" s="3" t="n">
        <v>61.8</v>
      </c>
      <c r="H143" s="3" t="inlineStr">
        <is>
          <t>W003</t>
        </is>
      </c>
      <c r="I143" s="3" t="n">
        <v>781</v>
      </c>
      <c r="J143" s="3" t="n">
        <v>30</v>
      </c>
      <c r="K143" s="4">
        <f>IF(I143=0,0,J143/I143)</f>
        <v/>
      </c>
    </row>
    <row r="144">
      <c r="A144" s="5" t="inlineStr">
        <is>
          <t>B2024142</t>
        </is>
      </c>
      <c r="B144" s="5" t="inlineStr">
        <is>
          <t>2024-03-18</t>
        </is>
      </c>
      <c r="C144" s="5" t="inlineStr">
        <is>
          <t>L-01</t>
        </is>
      </c>
      <c r="D144" s="5" t="inlineStr">
        <is>
          <t>PRD-A</t>
        </is>
      </c>
      <c r="E144" s="5" t="n">
        <v>176.5</v>
      </c>
      <c r="F144" s="5" t="n">
        <v>6.01</v>
      </c>
      <c r="G144" s="5" t="n">
        <v>63.5</v>
      </c>
      <c r="H144" s="5" t="inlineStr">
        <is>
          <t>W003</t>
        </is>
      </c>
      <c r="I144" s="5" t="n">
        <v>971</v>
      </c>
      <c r="J144" s="5" t="n">
        <v>26</v>
      </c>
      <c r="K144" s="6">
        <f>IF(I144=0,0,J144/I144)</f>
        <v/>
      </c>
    </row>
    <row r="145">
      <c r="A145" s="3" t="inlineStr">
        <is>
          <t>B2024143</t>
        </is>
      </c>
      <c r="B145" s="3" t="inlineStr">
        <is>
          <t>2024-03-14</t>
        </is>
      </c>
      <c r="C145" s="3" t="inlineStr">
        <is>
          <t>L-01</t>
        </is>
      </c>
      <c r="D145" s="3" t="inlineStr">
        <is>
          <t>PRD-D</t>
        </is>
      </c>
      <c r="E145" s="3" t="n">
        <v>186.5</v>
      </c>
      <c r="F145" s="3" t="n">
        <v>5.89</v>
      </c>
      <c r="G145" s="3" t="n">
        <v>77.40000000000001</v>
      </c>
      <c r="H145" s="3" t="inlineStr">
        <is>
          <t>W005</t>
        </is>
      </c>
      <c r="I145" s="3" t="n">
        <v>1141</v>
      </c>
      <c r="J145" s="3" t="n">
        <v>42</v>
      </c>
      <c r="K145" s="4">
        <f>IF(I145=0,0,J145/I145)</f>
        <v/>
      </c>
    </row>
    <row r="146">
      <c r="A146" s="5" t="inlineStr">
        <is>
          <t>B2024144</t>
        </is>
      </c>
      <c r="B146" s="5" t="inlineStr">
        <is>
          <t>2024-02-27</t>
        </is>
      </c>
      <c r="C146" s="5" t="inlineStr">
        <is>
          <t>L-02</t>
        </is>
      </c>
      <c r="D146" s="5" t="inlineStr">
        <is>
          <t>PRD-D</t>
        </is>
      </c>
      <c r="E146" s="5" t="n">
        <v>183</v>
      </c>
      <c r="F146" s="5" t="n">
        <v>6.49</v>
      </c>
      <c r="G146" s="5" t="n">
        <v>61</v>
      </c>
      <c r="H146" s="5" t="inlineStr">
        <is>
          <t>W003</t>
        </is>
      </c>
      <c r="I146" s="5" t="n">
        <v>1765</v>
      </c>
      <c r="J146" s="5" t="n">
        <v>33</v>
      </c>
      <c r="K146" s="6">
        <f>IF(I146=0,0,J146/I146)</f>
        <v/>
      </c>
    </row>
    <row r="147">
      <c r="A147" s="3" t="inlineStr">
        <is>
          <t>B2024145</t>
        </is>
      </c>
      <c r="B147" s="3" t="inlineStr">
        <is>
          <t>2024-02-24</t>
        </is>
      </c>
      <c r="C147" s="3" t="inlineStr">
        <is>
          <t>L-01</t>
        </is>
      </c>
      <c r="D147" s="3" t="inlineStr">
        <is>
          <t>PRD-D</t>
        </is>
      </c>
      <c r="E147" s="3" t="n">
        <v>188.3</v>
      </c>
      <c r="F147" s="3" t="n">
        <v>5.69</v>
      </c>
      <c r="G147" s="3" t="n">
        <v>44.7</v>
      </c>
      <c r="H147" s="3" t="inlineStr">
        <is>
          <t>W003</t>
        </is>
      </c>
      <c r="I147" s="3" t="n">
        <v>1310</v>
      </c>
      <c r="J147" s="3" t="n">
        <v>19</v>
      </c>
      <c r="K147" s="4">
        <f>IF(I147=0,0,J147/I147)</f>
        <v/>
      </c>
    </row>
    <row r="148">
      <c r="A148" s="5" t="inlineStr">
        <is>
          <t>B2024146</t>
        </is>
      </c>
      <c r="B148" s="5" t="inlineStr">
        <is>
          <t>2024-02-12</t>
        </is>
      </c>
      <c r="C148" s="5" t="inlineStr">
        <is>
          <t>L-01</t>
        </is>
      </c>
      <c r="D148" s="5" t="inlineStr">
        <is>
          <t>PRD-C</t>
        </is>
      </c>
      <c r="E148" s="5" t="n">
        <v>185.6</v>
      </c>
      <c r="F148" s="5" t="n">
        <v>5.8</v>
      </c>
      <c r="G148" s="5" t="n">
        <v>46.8</v>
      </c>
      <c r="H148" s="5" t="inlineStr">
        <is>
          <t>W002</t>
        </is>
      </c>
      <c r="I148" s="5" t="n">
        <v>897</v>
      </c>
      <c r="J148" s="5" t="n">
        <v>11</v>
      </c>
      <c r="K148" s="6">
        <f>IF(I148=0,0,J148/I148)</f>
        <v/>
      </c>
    </row>
    <row r="149">
      <c r="A149" s="3" t="inlineStr">
        <is>
          <t>B2024147</t>
        </is>
      </c>
      <c r="B149" s="3" t="inlineStr">
        <is>
          <t>2024-01-06</t>
        </is>
      </c>
      <c r="C149" s="3" t="inlineStr">
        <is>
          <t>L-01</t>
        </is>
      </c>
      <c r="D149" s="3" t="inlineStr">
        <is>
          <t>PRD-A</t>
        </is>
      </c>
      <c r="E149" s="3" t="n">
        <v>188.2</v>
      </c>
      <c r="F149" s="3" t="n">
        <v>6.26</v>
      </c>
      <c r="G149" s="3" t="n">
        <v>41.5</v>
      </c>
      <c r="H149" s="3" t="inlineStr">
        <is>
          <t>W004</t>
        </is>
      </c>
      <c r="I149" s="3" t="n">
        <v>1842</v>
      </c>
      <c r="J149" s="3" t="n">
        <v>21</v>
      </c>
      <c r="K149" s="4">
        <f>IF(I149=0,0,J149/I149)</f>
        <v/>
      </c>
    </row>
    <row r="150">
      <c r="A150" s="5" t="inlineStr">
        <is>
          <t>B2024148</t>
        </is>
      </c>
      <c r="B150" s="5" t="inlineStr">
        <is>
          <t>2024-03-11</t>
        </is>
      </c>
      <c r="C150" s="5" t="inlineStr">
        <is>
          <t>L-02</t>
        </is>
      </c>
      <c r="D150" s="5" t="inlineStr">
        <is>
          <t>PRD-D</t>
        </is>
      </c>
      <c r="E150" s="5" t="n">
        <v>178.1</v>
      </c>
      <c r="F150" s="5" t="n">
        <v>5.06</v>
      </c>
      <c r="G150" s="5" t="n">
        <v>36.7</v>
      </c>
      <c r="H150" s="5" t="inlineStr">
        <is>
          <t>W002</t>
        </is>
      </c>
      <c r="I150" s="5" t="n">
        <v>1161</v>
      </c>
      <c r="J150" s="5" t="n">
        <v>25</v>
      </c>
      <c r="K150" s="6">
        <f>IF(I150=0,0,J150/I150)</f>
        <v/>
      </c>
    </row>
    <row r="151">
      <c r="A151" s="3" t="inlineStr">
        <is>
          <t>B2024149</t>
        </is>
      </c>
      <c r="B151" s="3" t="inlineStr">
        <is>
          <t>2024-03-03</t>
        </is>
      </c>
      <c r="C151" s="3" t="inlineStr">
        <is>
          <t>L-02</t>
        </is>
      </c>
      <c r="D151" s="3" t="inlineStr">
        <is>
          <t>PRD-A</t>
        </is>
      </c>
      <c r="E151" s="3" t="n">
        <v>173.9</v>
      </c>
      <c r="F151" s="3" t="n">
        <v>6.14</v>
      </c>
      <c r="G151" s="3" t="n">
        <v>58.8</v>
      </c>
      <c r="H151" s="3" t="inlineStr">
        <is>
          <t>W003</t>
        </is>
      </c>
      <c r="I151" s="3" t="n">
        <v>1220</v>
      </c>
      <c r="J151" s="3" t="n">
        <v>11</v>
      </c>
      <c r="K151" s="4">
        <f>IF(I151=0,0,J151/I151)</f>
        <v/>
      </c>
    </row>
    <row r="152">
      <c r="A152" s="5" t="inlineStr">
        <is>
          <t>B2024150</t>
        </is>
      </c>
      <c r="B152" s="5" t="inlineStr">
        <is>
          <t>2024-03-20</t>
        </is>
      </c>
      <c r="C152" s="5" t="inlineStr">
        <is>
          <t>L-02</t>
        </is>
      </c>
      <c r="D152" s="5" t="inlineStr">
        <is>
          <t>PRD-D</t>
        </is>
      </c>
      <c r="E152" s="5" t="n">
        <v>192.5</v>
      </c>
      <c r="F152" s="5" t="n">
        <v>6.11</v>
      </c>
      <c r="G152" s="5" t="n">
        <v>51.7</v>
      </c>
      <c r="H152" s="5" t="inlineStr">
        <is>
          <t>W005</t>
        </is>
      </c>
      <c r="I152" s="5" t="n">
        <v>684</v>
      </c>
      <c r="J152" s="5" t="n">
        <v>41</v>
      </c>
      <c r="K152" s="6">
        <f>IF(I152=0,0,J152/I152)</f>
        <v/>
      </c>
    </row>
    <row r="153">
      <c r="A153" s="3" t="inlineStr">
        <is>
          <t>B2024151</t>
        </is>
      </c>
      <c r="B153" s="3" t="inlineStr">
        <is>
          <t>2024-03-07</t>
        </is>
      </c>
      <c r="C153" s="3" t="inlineStr">
        <is>
          <t>L-02</t>
        </is>
      </c>
      <c r="D153" s="3" t="inlineStr">
        <is>
          <t>PRD-D</t>
        </is>
      </c>
      <c r="E153" s="3" t="n">
        <v>167.6</v>
      </c>
      <c r="F153" s="3" t="n">
        <v>5.4</v>
      </c>
      <c r="G153" s="3" t="n">
        <v>54.8</v>
      </c>
      <c r="H153" s="3" t="inlineStr">
        <is>
          <t>W003</t>
        </is>
      </c>
      <c r="I153" s="3" t="n">
        <v>1670</v>
      </c>
      <c r="J153" s="3" t="n">
        <v>62</v>
      </c>
      <c r="K153" s="4">
        <f>IF(I153=0,0,J153/I153)</f>
        <v/>
      </c>
    </row>
    <row r="154">
      <c r="A154" s="5" t="inlineStr">
        <is>
          <t>B2024152</t>
        </is>
      </c>
      <c r="B154" s="5" t="inlineStr">
        <is>
          <t>2024-03-03</t>
        </is>
      </c>
      <c r="C154" s="5" t="inlineStr">
        <is>
          <t>L-03</t>
        </is>
      </c>
      <c r="D154" s="5" t="inlineStr">
        <is>
          <t>PRD-D</t>
        </is>
      </c>
      <c r="E154" s="5" t="n">
        <v>164.9</v>
      </c>
      <c r="F154" s="5" t="n">
        <v>5.99</v>
      </c>
      <c r="G154" s="5" t="n">
        <v>37.6</v>
      </c>
      <c r="H154" s="5" t="inlineStr">
        <is>
          <t>W005</t>
        </is>
      </c>
      <c r="I154" s="5" t="n">
        <v>1203</v>
      </c>
      <c r="J154" s="5" t="n">
        <v>41</v>
      </c>
      <c r="K154" s="6">
        <f>IF(I154=0,0,J154/I154)</f>
        <v/>
      </c>
    </row>
    <row r="155">
      <c r="A155" s="3" t="inlineStr">
        <is>
          <t>B2024153</t>
        </is>
      </c>
      <c r="B155" s="3" t="inlineStr">
        <is>
          <t>2024-01-12</t>
        </is>
      </c>
      <c r="C155" s="3" t="inlineStr">
        <is>
          <t>L-03</t>
        </is>
      </c>
      <c r="D155" s="3" t="inlineStr">
        <is>
          <t>PRD-B</t>
        </is>
      </c>
      <c r="E155" s="3" t="n">
        <v>197.2</v>
      </c>
      <c r="F155" s="3" t="n">
        <v>6.19</v>
      </c>
      <c r="G155" s="3" t="n">
        <v>67.2</v>
      </c>
      <c r="H155" s="3" t="inlineStr">
        <is>
          <t>W003</t>
        </is>
      </c>
      <c r="I155" s="3" t="n">
        <v>1748</v>
      </c>
      <c r="J155" s="3" t="n">
        <v>130</v>
      </c>
      <c r="K155" s="4">
        <f>IF(I155=0,0,J155/I155)</f>
        <v/>
      </c>
    </row>
    <row r="156">
      <c r="A156" s="5" t="inlineStr">
        <is>
          <t>B2024154</t>
        </is>
      </c>
      <c r="B156" s="5" t="inlineStr">
        <is>
          <t>2024-02-03</t>
        </is>
      </c>
      <c r="C156" s="5" t="inlineStr">
        <is>
          <t>L-02</t>
        </is>
      </c>
      <c r="D156" s="5" t="inlineStr">
        <is>
          <t>PRD-D</t>
        </is>
      </c>
      <c r="E156" s="5" t="n">
        <v>178.9</v>
      </c>
      <c r="F156" s="5" t="n">
        <v>6.25</v>
      </c>
      <c r="G156" s="5" t="n">
        <v>40.6</v>
      </c>
      <c r="H156" s="5" t="inlineStr">
        <is>
          <t>W003</t>
        </is>
      </c>
      <c r="I156" s="5" t="n">
        <v>1825</v>
      </c>
      <c r="J156" s="5" t="n">
        <v>21</v>
      </c>
      <c r="K156" s="6">
        <f>IF(I156=0,0,J156/I156)</f>
        <v/>
      </c>
    </row>
    <row r="157">
      <c r="A157" s="3" t="inlineStr">
        <is>
          <t>B2024155</t>
        </is>
      </c>
      <c r="B157" s="3" t="inlineStr">
        <is>
          <t>2024-02-03</t>
        </is>
      </c>
      <c r="C157" s="3" t="inlineStr">
        <is>
          <t>L-01</t>
        </is>
      </c>
      <c r="D157" s="3" t="inlineStr">
        <is>
          <t>PRD-D</t>
        </is>
      </c>
      <c r="E157" s="3" t="n">
        <v>182.3</v>
      </c>
      <c r="F157" s="3" t="n">
        <v>6.78</v>
      </c>
      <c r="G157" s="3" t="n">
        <v>42.9</v>
      </c>
      <c r="H157" s="3" t="inlineStr">
        <is>
          <t>W005</t>
        </is>
      </c>
      <c r="I157" s="3" t="n">
        <v>807</v>
      </c>
      <c r="J157" s="3" t="n">
        <v>4</v>
      </c>
      <c r="K157" s="4">
        <f>IF(I157=0,0,J157/I157)</f>
        <v/>
      </c>
    </row>
    <row r="158">
      <c r="A158" s="5" t="inlineStr">
        <is>
          <t>B2024156</t>
        </is>
      </c>
      <c r="B158" s="5" t="inlineStr">
        <is>
          <t>2024-03-23</t>
        </is>
      </c>
      <c r="C158" s="5" t="inlineStr">
        <is>
          <t>L-03</t>
        </is>
      </c>
      <c r="D158" s="5" t="inlineStr">
        <is>
          <t>PRD-B</t>
        </is>
      </c>
      <c r="E158" s="5" t="n">
        <v>191</v>
      </c>
      <c r="F158" s="5" t="n">
        <v>5.78</v>
      </c>
      <c r="G158" s="5" t="n">
        <v>46.8</v>
      </c>
      <c r="H158" s="5" t="inlineStr">
        <is>
          <t>W001</t>
        </is>
      </c>
      <c r="I158" s="5" t="n">
        <v>764</v>
      </c>
      <c r="J158" s="5" t="n">
        <v>38</v>
      </c>
      <c r="K158" s="6">
        <f>IF(I158=0,0,J158/I158)</f>
        <v/>
      </c>
    </row>
    <row r="159">
      <c r="A159" s="3" t="inlineStr">
        <is>
          <t>B2024157</t>
        </is>
      </c>
      <c r="B159" s="3" t="inlineStr">
        <is>
          <t>2024-03-03</t>
        </is>
      </c>
      <c r="C159" s="3" t="inlineStr">
        <is>
          <t>L-02</t>
        </is>
      </c>
      <c r="D159" s="3" t="inlineStr">
        <is>
          <t>PRD-D</t>
        </is>
      </c>
      <c r="E159" s="3" t="n">
        <v>180.6</v>
      </c>
      <c r="F159" s="3" t="n">
        <v>5.65</v>
      </c>
      <c r="G159" s="3" t="n">
        <v>65.8</v>
      </c>
      <c r="H159" s="3" t="inlineStr">
        <is>
          <t>W004</t>
        </is>
      </c>
      <c r="I159" s="3" t="n">
        <v>1903</v>
      </c>
      <c r="J159" s="3" t="n">
        <v>83</v>
      </c>
      <c r="K159" s="4">
        <f>IF(I159=0,0,J159/I159)</f>
        <v/>
      </c>
    </row>
    <row r="160">
      <c r="A160" s="5" t="inlineStr">
        <is>
          <t>B2024158</t>
        </is>
      </c>
      <c r="B160" s="5" t="inlineStr">
        <is>
          <t>2024-01-08</t>
        </is>
      </c>
      <c r="C160" s="5" t="inlineStr">
        <is>
          <t>L-03</t>
        </is>
      </c>
      <c r="D160" s="5" t="inlineStr">
        <is>
          <t>PRD-C</t>
        </is>
      </c>
      <c r="E160" s="5" t="n">
        <v>191.8</v>
      </c>
      <c r="F160" s="5" t="n">
        <v>6.05</v>
      </c>
      <c r="G160" s="5" t="n">
        <v>63.7</v>
      </c>
      <c r="H160" s="5" t="inlineStr">
        <is>
          <t>W002</t>
        </is>
      </c>
      <c r="I160" s="5" t="n">
        <v>1495</v>
      </c>
      <c r="J160" s="5" t="n">
        <v>86</v>
      </c>
      <c r="K160" s="6">
        <f>IF(I160=0,0,J160/I160)</f>
        <v/>
      </c>
    </row>
    <row r="161">
      <c r="A161" s="3" t="inlineStr">
        <is>
          <t>B2024159</t>
        </is>
      </c>
      <c r="B161" s="3" t="inlineStr">
        <is>
          <t>2024-01-22</t>
        </is>
      </c>
      <c r="C161" s="3" t="inlineStr">
        <is>
          <t>L-01</t>
        </is>
      </c>
      <c r="D161" s="3" t="inlineStr">
        <is>
          <t>PRD-A</t>
        </is>
      </c>
      <c r="E161" s="3" t="n">
        <v>181</v>
      </c>
      <c r="F161" s="3" t="n">
        <v>6.84</v>
      </c>
      <c r="G161" s="3" t="n">
        <v>42.6</v>
      </c>
      <c r="H161" s="3" t="inlineStr">
        <is>
          <t>W003</t>
        </is>
      </c>
      <c r="I161" s="3" t="n">
        <v>1578</v>
      </c>
      <c r="J161" s="3" t="n">
        <v>30</v>
      </c>
      <c r="K161" s="4">
        <f>IF(I161=0,0,J161/I161)</f>
        <v/>
      </c>
    </row>
    <row r="162">
      <c r="A162" s="5" t="inlineStr">
        <is>
          <t>B2024160</t>
        </is>
      </c>
      <c r="B162" s="5" t="inlineStr">
        <is>
          <t>2024-01-24</t>
        </is>
      </c>
      <c r="C162" s="5" t="inlineStr">
        <is>
          <t>L-03</t>
        </is>
      </c>
      <c r="D162" s="5" t="inlineStr">
        <is>
          <t>PRD-B</t>
        </is>
      </c>
      <c r="E162" s="5" t="n">
        <v>181.2</v>
      </c>
      <c r="F162" s="5" t="n">
        <v>5.83</v>
      </c>
      <c r="G162" s="5" t="n">
        <v>61.5</v>
      </c>
      <c r="H162" s="5" t="inlineStr">
        <is>
          <t>W004</t>
        </is>
      </c>
      <c r="I162" s="5" t="n">
        <v>1779</v>
      </c>
      <c r="J162" s="5" t="n">
        <v>73</v>
      </c>
      <c r="K162" s="6">
        <f>IF(I162=0,0,J162/I162)</f>
        <v/>
      </c>
    </row>
    <row r="163">
      <c r="A163" s="3" t="inlineStr">
        <is>
          <t>B2024161</t>
        </is>
      </c>
      <c r="B163" s="3" t="inlineStr">
        <is>
          <t>2024-01-18</t>
        </is>
      </c>
      <c r="C163" s="3" t="inlineStr">
        <is>
          <t>L-01</t>
        </is>
      </c>
      <c r="D163" s="3" t="inlineStr">
        <is>
          <t>PRD-D</t>
        </is>
      </c>
      <c r="E163" s="3" t="n">
        <v>176.6</v>
      </c>
      <c r="F163" s="3" t="n">
        <v>6.6</v>
      </c>
      <c r="G163" s="3" t="n">
        <v>68.5</v>
      </c>
      <c r="H163" s="3" t="inlineStr">
        <is>
          <t>W002</t>
        </is>
      </c>
      <c r="I163" s="3" t="n">
        <v>1419</v>
      </c>
      <c r="J163" s="3" t="n">
        <v>46</v>
      </c>
      <c r="K163" s="4">
        <f>IF(I163=0,0,J163/I163)</f>
        <v/>
      </c>
    </row>
    <row r="164">
      <c r="A164" s="5" t="inlineStr">
        <is>
          <t>B2024162</t>
        </is>
      </c>
      <c r="B164" s="5" t="inlineStr">
        <is>
          <t>2024-02-25</t>
        </is>
      </c>
      <c r="C164" s="5" t="inlineStr">
        <is>
          <t>L-02</t>
        </is>
      </c>
      <c r="D164" s="5" t="inlineStr">
        <is>
          <t>PRD-D</t>
        </is>
      </c>
      <c r="E164" s="5" t="n">
        <v>189.3</v>
      </c>
      <c r="F164" s="5" t="n">
        <v>5.81</v>
      </c>
      <c r="G164" s="5" t="n">
        <v>49.3</v>
      </c>
      <c r="H164" s="5" t="inlineStr">
        <is>
          <t>W003</t>
        </is>
      </c>
      <c r="I164" s="5" t="n">
        <v>1402</v>
      </c>
      <c r="J164" s="5" t="n">
        <v>14</v>
      </c>
      <c r="K164" s="6">
        <f>IF(I164=0,0,J164/I164)</f>
        <v/>
      </c>
    </row>
    <row r="165">
      <c r="A165" s="3" t="inlineStr">
        <is>
          <t>B2024163</t>
        </is>
      </c>
      <c r="B165" s="3" t="inlineStr">
        <is>
          <t>2024-01-21</t>
        </is>
      </c>
      <c r="C165" s="3" t="inlineStr">
        <is>
          <t>L-02</t>
        </is>
      </c>
      <c r="D165" s="3" t="inlineStr">
        <is>
          <t>PRD-D</t>
        </is>
      </c>
      <c r="E165" s="3" t="n">
        <v>199.4</v>
      </c>
      <c r="F165" s="3" t="n">
        <v>5.81</v>
      </c>
      <c r="G165" s="3" t="n">
        <v>56.7</v>
      </c>
      <c r="H165" s="3" t="inlineStr">
        <is>
          <t>W004</t>
        </is>
      </c>
      <c r="I165" s="3" t="n">
        <v>1012</v>
      </c>
      <c r="J165" s="3" t="n">
        <v>46</v>
      </c>
      <c r="K165" s="4">
        <f>IF(I165=0,0,J165/I165)</f>
        <v/>
      </c>
    </row>
    <row r="166">
      <c r="A166" s="5" t="inlineStr">
        <is>
          <t>B2024164</t>
        </is>
      </c>
      <c r="B166" s="5" t="inlineStr">
        <is>
          <t>2024-02-15</t>
        </is>
      </c>
      <c r="C166" s="5" t="inlineStr">
        <is>
          <t>L-02</t>
        </is>
      </c>
      <c r="D166" s="5" t="inlineStr">
        <is>
          <t>PRD-A</t>
        </is>
      </c>
      <c r="E166" s="5" t="n">
        <v>182.7</v>
      </c>
      <c r="F166" s="5" t="n">
        <v>5.42</v>
      </c>
      <c r="G166" s="5" t="n">
        <v>58</v>
      </c>
      <c r="H166" s="5" t="inlineStr">
        <is>
          <t>W005</t>
        </is>
      </c>
      <c r="I166" s="5" t="n">
        <v>828</v>
      </c>
      <c r="J166" s="5" t="n">
        <v>35</v>
      </c>
      <c r="K166" s="6">
        <f>IF(I166=0,0,J166/I166)</f>
        <v/>
      </c>
    </row>
    <row r="167">
      <c r="A167" s="3" t="inlineStr">
        <is>
          <t>B2024165</t>
        </is>
      </c>
      <c r="B167" s="3" t="inlineStr">
        <is>
          <t>2024-02-02</t>
        </is>
      </c>
      <c r="C167" s="3" t="inlineStr">
        <is>
          <t>L-01</t>
        </is>
      </c>
      <c r="D167" s="3" t="inlineStr">
        <is>
          <t>PRD-D</t>
        </is>
      </c>
      <c r="E167" s="3" t="n">
        <v>199.7</v>
      </c>
      <c r="F167" s="3" t="n">
        <v>6.6</v>
      </c>
      <c r="G167" s="3" t="n">
        <v>63.5</v>
      </c>
      <c r="H167" s="3" t="inlineStr">
        <is>
          <t>W004</t>
        </is>
      </c>
      <c r="I167" s="3" t="n">
        <v>554</v>
      </c>
      <c r="J167" s="3" t="n">
        <v>19</v>
      </c>
      <c r="K167" s="4">
        <f>IF(I167=0,0,J167/I167)</f>
        <v/>
      </c>
    </row>
    <row r="168">
      <c r="A168" s="5" t="inlineStr">
        <is>
          <t>B2024166</t>
        </is>
      </c>
      <c r="B168" s="5" t="inlineStr">
        <is>
          <t>2024-03-21</t>
        </is>
      </c>
      <c r="C168" s="5" t="inlineStr">
        <is>
          <t>L-03</t>
        </is>
      </c>
      <c r="D168" s="5" t="inlineStr">
        <is>
          <t>PRD-C</t>
        </is>
      </c>
      <c r="E168" s="5" t="n">
        <v>187.3</v>
      </c>
      <c r="F168" s="5" t="n">
        <v>7.61</v>
      </c>
      <c r="G168" s="5" t="n">
        <v>53.3</v>
      </c>
      <c r="H168" s="5" t="inlineStr">
        <is>
          <t>W003</t>
        </is>
      </c>
      <c r="I168" s="5" t="n">
        <v>702</v>
      </c>
      <c r="J168" s="5" t="n">
        <v>22</v>
      </c>
      <c r="K168" s="6">
        <f>IF(I168=0,0,J168/I168)</f>
        <v/>
      </c>
    </row>
    <row r="169">
      <c r="A169" s="3" t="inlineStr">
        <is>
          <t>B2024167</t>
        </is>
      </c>
      <c r="B169" s="3" t="inlineStr">
        <is>
          <t>2024-02-15</t>
        </is>
      </c>
      <c r="C169" s="3" t="inlineStr">
        <is>
          <t>L-01</t>
        </is>
      </c>
      <c r="D169" s="3" t="inlineStr">
        <is>
          <t>PRD-B</t>
        </is>
      </c>
      <c r="E169" s="3" t="n">
        <v>202.4</v>
      </c>
      <c r="F169" s="3" t="n">
        <v>6.27</v>
      </c>
      <c r="G169" s="3" t="n">
        <v>36.4</v>
      </c>
      <c r="H169" s="3" t="inlineStr">
        <is>
          <t>W005</t>
        </is>
      </c>
      <c r="I169" s="3" t="n">
        <v>1944</v>
      </c>
      <c r="J169" s="3" t="n">
        <v>102</v>
      </c>
      <c r="K169" s="4">
        <f>IF(I169=0,0,J169/I169)</f>
        <v/>
      </c>
    </row>
    <row r="170">
      <c r="A170" s="5" t="inlineStr">
        <is>
          <t>B2024168</t>
        </is>
      </c>
      <c r="B170" s="5" t="inlineStr">
        <is>
          <t>2024-03-14</t>
        </is>
      </c>
      <c r="C170" s="5" t="inlineStr">
        <is>
          <t>L-01</t>
        </is>
      </c>
      <c r="D170" s="5" t="inlineStr">
        <is>
          <t>PRD-A</t>
        </is>
      </c>
      <c r="E170" s="5" t="n">
        <v>190.5</v>
      </c>
      <c r="F170" s="5" t="n">
        <v>6.04</v>
      </c>
      <c r="G170" s="5" t="n">
        <v>69</v>
      </c>
      <c r="H170" s="5" t="inlineStr">
        <is>
          <t>W001</t>
        </is>
      </c>
      <c r="I170" s="5" t="n">
        <v>1746</v>
      </c>
      <c r="J170" s="5" t="n">
        <v>140</v>
      </c>
      <c r="K170" s="6">
        <f>IF(I170=0,0,J170/I170)</f>
        <v/>
      </c>
    </row>
    <row r="171">
      <c r="A171" s="3" t="inlineStr">
        <is>
          <t>B2024169</t>
        </is>
      </c>
      <c r="B171" s="3" t="inlineStr">
        <is>
          <t>2024-01-04</t>
        </is>
      </c>
      <c r="C171" s="3" t="inlineStr">
        <is>
          <t>L-02</t>
        </is>
      </c>
      <c r="D171" s="3" t="inlineStr">
        <is>
          <t>PRD-B</t>
        </is>
      </c>
      <c r="E171" s="3" t="n">
        <v>184.2</v>
      </c>
      <c r="F171" s="3" t="n">
        <v>6.15</v>
      </c>
      <c r="G171" s="3" t="n">
        <v>39.4</v>
      </c>
      <c r="H171" s="3" t="inlineStr">
        <is>
          <t>W004</t>
        </is>
      </c>
      <c r="I171" s="3" t="n">
        <v>1436</v>
      </c>
      <c r="J171" s="3" t="n">
        <v>38</v>
      </c>
      <c r="K171" s="4">
        <f>IF(I171=0,0,J171/I171)</f>
        <v/>
      </c>
    </row>
    <row r="172">
      <c r="A172" s="5" t="inlineStr">
        <is>
          <t>B2024170</t>
        </is>
      </c>
      <c r="B172" s="5" t="inlineStr">
        <is>
          <t>2024-03-12</t>
        </is>
      </c>
      <c r="C172" s="5" t="inlineStr">
        <is>
          <t>L-03</t>
        </is>
      </c>
      <c r="D172" s="5" t="inlineStr">
        <is>
          <t>PRD-A</t>
        </is>
      </c>
      <c r="E172" s="5" t="n">
        <v>177.9</v>
      </c>
      <c r="F172" s="5" t="n">
        <v>5.52</v>
      </c>
      <c r="G172" s="5" t="n">
        <v>53.4</v>
      </c>
      <c r="H172" s="5" t="inlineStr">
        <is>
          <t>W002</t>
        </is>
      </c>
      <c r="I172" s="5" t="n">
        <v>503</v>
      </c>
      <c r="J172" s="5" t="n">
        <v>11</v>
      </c>
      <c r="K172" s="6">
        <f>IF(I172=0,0,J172/I172)</f>
        <v/>
      </c>
    </row>
    <row r="173">
      <c r="A173" s="3" t="inlineStr">
        <is>
          <t>B2024171</t>
        </is>
      </c>
      <c r="B173" s="3" t="inlineStr">
        <is>
          <t>2024-03-17</t>
        </is>
      </c>
      <c r="C173" s="3" t="inlineStr">
        <is>
          <t>L-03</t>
        </is>
      </c>
      <c r="D173" s="3" t="inlineStr">
        <is>
          <t>PRD-D</t>
        </is>
      </c>
      <c r="E173" s="3" t="n">
        <v>189.6</v>
      </c>
      <c r="F173" s="3" t="n">
        <v>6.69</v>
      </c>
      <c r="G173" s="3" t="n">
        <v>45.6</v>
      </c>
      <c r="H173" s="3" t="inlineStr">
        <is>
          <t>W005</t>
        </is>
      </c>
      <c r="I173" s="3" t="n">
        <v>1577</v>
      </c>
      <c r="J173" s="3" t="n">
        <v>45</v>
      </c>
      <c r="K173" s="4">
        <f>IF(I173=0,0,J173/I173)</f>
        <v/>
      </c>
    </row>
    <row r="174">
      <c r="A174" s="5" t="inlineStr">
        <is>
          <t>B2024172</t>
        </is>
      </c>
      <c r="B174" s="5" t="inlineStr">
        <is>
          <t>2024-03-01</t>
        </is>
      </c>
      <c r="C174" s="5" t="inlineStr">
        <is>
          <t>L-03</t>
        </is>
      </c>
      <c r="D174" s="5" t="inlineStr">
        <is>
          <t>PRD-A</t>
        </is>
      </c>
      <c r="E174" s="5" t="n">
        <v>178</v>
      </c>
      <c r="F174" s="5" t="n">
        <v>6.36</v>
      </c>
      <c r="G174" s="5" t="n">
        <v>36.5</v>
      </c>
      <c r="H174" s="5" t="inlineStr">
        <is>
          <t>W003</t>
        </is>
      </c>
      <c r="I174" s="5" t="n">
        <v>1019</v>
      </c>
      <c r="J174" s="5" t="n">
        <v>13</v>
      </c>
      <c r="K174" s="6">
        <f>IF(I174=0,0,J174/I174)</f>
        <v/>
      </c>
    </row>
    <row r="175">
      <c r="A175" s="3" t="inlineStr">
        <is>
          <t>B2024173</t>
        </is>
      </c>
      <c r="B175" s="3" t="inlineStr">
        <is>
          <t>2024-01-02</t>
        </is>
      </c>
      <c r="C175" s="3" t="inlineStr">
        <is>
          <t>L-01</t>
        </is>
      </c>
      <c r="D175" s="3" t="inlineStr">
        <is>
          <t>PRD-C</t>
        </is>
      </c>
      <c r="E175" s="3" t="n">
        <v>185.7</v>
      </c>
      <c r="F175" s="3" t="n">
        <v>6.73</v>
      </c>
      <c r="G175" s="3" t="n">
        <v>65.5</v>
      </c>
      <c r="H175" s="3" t="inlineStr">
        <is>
          <t>W003</t>
        </is>
      </c>
      <c r="I175" s="3" t="n">
        <v>1180</v>
      </c>
      <c r="J175" s="3" t="n">
        <v>48</v>
      </c>
      <c r="K175" s="4">
        <f>IF(I175=0,0,J175/I175)</f>
        <v/>
      </c>
    </row>
    <row r="176">
      <c r="A176" s="5" t="inlineStr">
        <is>
          <t>B2024174</t>
        </is>
      </c>
      <c r="B176" s="5" t="inlineStr">
        <is>
          <t>2024-02-21</t>
        </is>
      </c>
      <c r="C176" s="5" t="inlineStr">
        <is>
          <t>L-03</t>
        </is>
      </c>
      <c r="D176" s="5" t="inlineStr">
        <is>
          <t>PRD-C</t>
        </is>
      </c>
      <c r="E176" s="5" t="n">
        <v>186.9</v>
      </c>
      <c r="F176" s="5" t="n">
        <v>5.71</v>
      </c>
      <c r="G176" s="5" t="n">
        <v>57</v>
      </c>
      <c r="H176" s="5" t="inlineStr">
        <is>
          <t>W002</t>
        </is>
      </c>
      <c r="I176" s="5" t="n">
        <v>1924</v>
      </c>
      <c r="J176" s="5" t="n">
        <v>40</v>
      </c>
      <c r="K176" s="6">
        <f>IF(I176=0,0,J176/I176)</f>
        <v/>
      </c>
    </row>
    <row r="177">
      <c r="A177" s="3" t="inlineStr">
        <is>
          <t>B2024175</t>
        </is>
      </c>
      <c r="B177" s="3" t="inlineStr">
        <is>
          <t>2024-01-11</t>
        </is>
      </c>
      <c r="C177" s="3" t="inlineStr">
        <is>
          <t>L-01</t>
        </is>
      </c>
      <c r="D177" s="3" t="inlineStr">
        <is>
          <t>PRD-A</t>
        </is>
      </c>
      <c r="E177" s="3" t="n">
        <v>180.9</v>
      </c>
      <c r="F177" s="3" t="n">
        <v>4.83</v>
      </c>
      <c r="G177" s="3" t="n">
        <v>61.5</v>
      </c>
      <c r="H177" s="3" t="inlineStr">
        <is>
          <t>W003</t>
        </is>
      </c>
      <c r="I177" s="3" t="n">
        <v>908</v>
      </c>
      <c r="J177" s="3" t="n">
        <v>37</v>
      </c>
      <c r="K177" s="4">
        <f>IF(I177=0,0,J177/I177)</f>
        <v/>
      </c>
    </row>
    <row r="178">
      <c r="A178" s="5" t="inlineStr">
        <is>
          <t>B2024176</t>
        </is>
      </c>
      <c r="B178" s="5" t="inlineStr">
        <is>
          <t>2024-02-12</t>
        </is>
      </c>
      <c r="C178" s="5" t="inlineStr">
        <is>
          <t>L-03</t>
        </is>
      </c>
      <c r="D178" s="5" t="inlineStr">
        <is>
          <t>PRD-D</t>
        </is>
      </c>
      <c r="E178" s="5" t="n">
        <v>195</v>
      </c>
      <c r="F178" s="5" t="n">
        <v>5.96</v>
      </c>
      <c r="G178" s="5" t="n">
        <v>54.7</v>
      </c>
      <c r="H178" s="5" t="inlineStr">
        <is>
          <t>W001</t>
        </is>
      </c>
      <c r="I178" s="5" t="n">
        <v>891</v>
      </c>
      <c r="J178" s="5" t="n">
        <v>65</v>
      </c>
      <c r="K178" s="6">
        <f>IF(I178=0,0,J178/I178)</f>
        <v/>
      </c>
    </row>
    <row r="179">
      <c r="A179" s="3" t="inlineStr">
        <is>
          <t>B2024177</t>
        </is>
      </c>
      <c r="B179" s="3" t="inlineStr">
        <is>
          <t>2024-02-11</t>
        </is>
      </c>
      <c r="C179" s="3" t="inlineStr">
        <is>
          <t>L-03</t>
        </is>
      </c>
      <c r="D179" s="3" t="inlineStr">
        <is>
          <t>PRD-C</t>
        </is>
      </c>
      <c r="E179" s="3" t="n">
        <v>182.9</v>
      </c>
      <c r="F179" s="3" t="n">
        <v>6.89</v>
      </c>
      <c r="G179" s="3" t="n">
        <v>45.7</v>
      </c>
      <c r="H179" s="3" t="inlineStr">
        <is>
          <t>W002</t>
        </is>
      </c>
      <c r="I179" s="3" t="n">
        <v>1400</v>
      </c>
      <c r="J179" s="3" t="n">
        <v>46</v>
      </c>
      <c r="K179" s="4">
        <f>IF(I179=0,0,J179/I179)</f>
        <v/>
      </c>
    </row>
    <row r="180">
      <c r="A180" s="5" t="inlineStr">
        <is>
          <t>B2024178</t>
        </is>
      </c>
      <c r="B180" s="5" t="inlineStr">
        <is>
          <t>2024-01-14</t>
        </is>
      </c>
      <c r="C180" s="5" t="inlineStr">
        <is>
          <t>L-02</t>
        </is>
      </c>
      <c r="D180" s="5" t="inlineStr">
        <is>
          <t>PRD-D</t>
        </is>
      </c>
      <c r="E180" s="5" t="n">
        <v>175.4</v>
      </c>
      <c r="F180" s="5" t="n">
        <v>6.66</v>
      </c>
      <c r="G180" s="5" t="n">
        <v>54.6</v>
      </c>
      <c r="H180" s="5" t="inlineStr">
        <is>
          <t>W005</t>
        </is>
      </c>
      <c r="I180" s="5" t="n">
        <v>1369</v>
      </c>
      <c r="J180" s="5" t="n">
        <v>31</v>
      </c>
      <c r="K180" s="6">
        <f>IF(I180=0,0,J180/I180)</f>
        <v/>
      </c>
    </row>
    <row r="181">
      <c r="A181" s="3" t="inlineStr">
        <is>
          <t>B2024179</t>
        </is>
      </c>
      <c r="B181" s="3" t="inlineStr">
        <is>
          <t>2024-03-14</t>
        </is>
      </c>
      <c r="C181" s="3" t="inlineStr">
        <is>
          <t>L-01</t>
        </is>
      </c>
      <c r="D181" s="3" t="inlineStr">
        <is>
          <t>PRD-C</t>
        </is>
      </c>
      <c r="E181" s="3" t="n">
        <v>183.6</v>
      </c>
      <c r="F181" s="3" t="n">
        <v>6.18</v>
      </c>
      <c r="G181" s="3" t="n">
        <v>50.5</v>
      </c>
      <c r="H181" s="3" t="inlineStr">
        <is>
          <t>W002</t>
        </is>
      </c>
      <c r="I181" s="3" t="n">
        <v>1734</v>
      </c>
      <c r="J181" s="3" t="n">
        <v>24</v>
      </c>
      <c r="K181" s="4">
        <f>IF(I181=0,0,J181/I181)</f>
        <v/>
      </c>
    </row>
    <row r="182">
      <c r="A182" s="5" t="inlineStr">
        <is>
          <t>B2024180</t>
        </is>
      </c>
      <c r="B182" s="5" t="inlineStr">
        <is>
          <t>2024-02-21</t>
        </is>
      </c>
      <c r="C182" s="5" t="inlineStr">
        <is>
          <t>L-03</t>
        </is>
      </c>
      <c r="D182" s="5" t="inlineStr">
        <is>
          <t>PRD-D</t>
        </is>
      </c>
      <c r="E182" s="5" t="n">
        <v>183.6</v>
      </c>
      <c r="F182" s="5" t="n">
        <v>6.12</v>
      </c>
      <c r="G182" s="5" t="n">
        <v>61.4</v>
      </c>
      <c r="H182" s="5" t="inlineStr">
        <is>
          <t>W001</t>
        </is>
      </c>
      <c r="I182" s="5" t="n">
        <v>1390</v>
      </c>
      <c r="J182" s="5" t="n">
        <v>34</v>
      </c>
      <c r="K182" s="6">
        <f>IF(I182=0,0,J182/I182)</f>
        <v/>
      </c>
    </row>
    <row r="183">
      <c r="A183" s="3" t="inlineStr">
        <is>
          <t>B2024181</t>
        </is>
      </c>
      <c r="B183" s="3" t="inlineStr">
        <is>
          <t>2024-03-22</t>
        </is>
      </c>
      <c r="C183" s="3" t="inlineStr">
        <is>
          <t>L-01</t>
        </is>
      </c>
      <c r="D183" s="3" t="inlineStr">
        <is>
          <t>PRD-D</t>
        </is>
      </c>
      <c r="E183" s="3" t="n">
        <v>175.6</v>
      </c>
      <c r="F183" s="3" t="n">
        <v>6.68</v>
      </c>
      <c r="G183" s="3" t="n">
        <v>44.4</v>
      </c>
      <c r="H183" s="3" t="inlineStr">
        <is>
          <t>W004</t>
        </is>
      </c>
      <c r="I183" s="3" t="n">
        <v>792</v>
      </c>
      <c r="J183" s="3" t="n">
        <v>1</v>
      </c>
      <c r="K183" s="4">
        <f>IF(I183=0,0,J183/I183)</f>
        <v/>
      </c>
    </row>
    <row r="184">
      <c r="A184" s="5" t="inlineStr">
        <is>
          <t>B2024182</t>
        </is>
      </c>
      <c r="B184" s="5" t="inlineStr">
        <is>
          <t>2024-01-20</t>
        </is>
      </c>
      <c r="C184" s="5" t="inlineStr">
        <is>
          <t>L-01</t>
        </is>
      </c>
      <c r="D184" s="5" t="inlineStr">
        <is>
          <t>PRD-B</t>
        </is>
      </c>
      <c r="E184" s="5" t="n">
        <v>197.7</v>
      </c>
      <c r="F184" s="5" t="n">
        <v>6.36</v>
      </c>
      <c r="G184" s="5" t="n">
        <v>48.4</v>
      </c>
      <c r="H184" s="5" t="inlineStr">
        <is>
          <t>W002</t>
        </is>
      </c>
      <c r="I184" s="5" t="n">
        <v>1661</v>
      </c>
      <c r="J184" s="5" t="n">
        <v>92</v>
      </c>
      <c r="K184" s="6">
        <f>IF(I184=0,0,J184/I184)</f>
        <v/>
      </c>
    </row>
    <row r="185">
      <c r="A185" s="3" t="inlineStr">
        <is>
          <t>B2024183</t>
        </is>
      </c>
      <c r="B185" s="3" t="inlineStr">
        <is>
          <t>2024-02-13</t>
        </is>
      </c>
      <c r="C185" s="3" t="inlineStr">
        <is>
          <t>L-03</t>
        </is>
      </c>
      <c r="D185" s="3" t="inlineStr">
        <is>
          <t>PRD-D</t>
        </is>
      </c>
      <c r="E185" s="3" t="n">
        <v>192.3</v>
      </c>
      <c r="F185" s="3" t="n">
        <v>5.85</v>
      </c>
      <c r="G185" s="3" t="n">
        <v>56.1</v>
      </c>
      <c r="H185" s="3" t="inlineStr">
        <is>
          <t>W003</t>
        </is>
      </c>
      <c r="I185" s="3" t="n">
        <v>1584</v>
      </c>
      <c r="J185" s="3" t="n">
        <v>78</v>
      </c>
      <c r="K185" s="4">
        <f>IF(I185=0,0,J185/I185)</f>
        <v/>
      </c>
    </row>
    <row r="186">
      <c r="A186" s="5" t="inlineStr">
        <is>
          <t>B2024184</t>
        </is>
      </c>
      <c r="B186" s="5" t="inlineStr">
        <is>
          <t>2024-03-04</t>
        </is>
      </c>
      <c r="C186" s="5" t="inlineStr">
        <is>
          <t>L-03</t>
        </is>
      </c>
      <c r="D186" s="5" t="inlineStr">
        <is>
          <t>PRD-C</t>
        </is>
      </c>
      <c r="E186" s="5" t="n">
        <v>185</v>
      </c>
      <c r="F186" s="5" t="n">
        <v>6.25</v>
      </c>
      <c r="G186" s="5" t="n">
        <v>53.9</v>
      </c>
      <c r="H186" s="5" t="inlineStr">
        <is>
          <t>W003</t>
        </is>
      </c>
      <c r="I186" s="5" t="n">
        <v>1292</v>
      </c>
      <c r="J186" s="5" t="n">
        <v>26</v>
      </c>
      <c r="K186" s="6">
        <f>IF(I186=0,0,J186/I186)</f>
        <v/>
      </c>
    </row>
    <row r="187">
      <c r="A187" s="3" t="inlineStr">
        <is>
          <t>B2024185</t>
        </is>
      </c>
      <c r="B187" s="3" t="inlineStr">
        <is>
          <t>2024-01-05</t>
        </is>
      </c>
      <c r="C187" s="3" t="inlineStr">
        <is>
          <t>L-02</t>
        </is>
      </c>
      <c r="D187" s="3" t="inlineStr">
        <is>
          <t>PRD-D</t>
        </is>
      </c>
      <c r="E187" s="3" t="n">
        <v>187.4</v>
      </c>
      <c r="F187" s="3" t="n">
        <v>6.67</v>
      </c>
      <c r="G187" s="3" t="n">
        <v>42.5</v>
      </c>
      <c r="H187" s="3" t="inlineStr">
        <is>
          <t>W001</t>
        </is>
      </c>
      <c r="I187" s="3" t="n">
        <v>909</v>
      </c>
      <c r="J187" s="3" t="n">
        <v>0</v>
      </c>
      <c r="K187" s="4">
        <f>IF(I187=0,0,J187/I187)</f>
        <v/>
      </c>
    </row>
    <row r="188">
      <c r="A188" s="5" t="inlineStr">
        <is>
          <t>B2024186</t>
        </is>
      </c>
      <c r="B188" s="5" t="inlineStr">
        <is>
          <t>2024-03-12</t>
        </is>
      </c>
      <c r="C188" s="5" t="inlineStr">
        <is>
          <t>L-02</t>
        </is>
      </c>
      <c r="D188" s="5" t="inlineStr">
        <is>
          <t>PRD-B</t>
        </is>
      </c>
      <c r="E188" s="5" t="n">
        <v>192</v>
      </c>
      <c r="F188" s="5" t="n">
        <v>5.68</v>
      </c>
      <c r="G188" s="5" t="n">
        <v>67.90000000000001</v>
      </c>
      <c r="H188" s="5" t="inlineStr">
        <is>
          <t>W001</t>
        </is>
      </c>
      <c r="I188" s="5" t="n">
        <v>1154</v>
      </c>
      <c r="J188" s="5" t="n">
        <v>82</v>
      </c>
      <c r="K188" s="6">
        <f>IF(I188=0,0,J188/I188)</f>
        <v/>
      </c>
    </row>
    <row r="189">
      <c r="A189" s="3" t="inlineStr">
        <is>
          <t>B2024187</t>
        </is>
      </c>
      <c r="B189" s="3" t="inlineStr">
        <is>
          <t>2024-01-26</t>
        </is>
      </c>
      <c r="C189" s="3" t="inlineStr">
        <is>
          <t>L-03</t>
        </is>
      </c>
      <c r="D189" s="3" t="inlineStr">
        <is>
          <t>PRD-C</t>
        </is>
      </c>
      <c r="E189" s="3" t="n">
        <v>197.1</v>
      </c>
      <c r="F189" s="3" t="n">
        <v>5.38</v>
      </c>
      <c r="G189" s="3" t="n">
        <v>49.6</v>
      </c>
      <c r="H189" s="3" t="inlineStr">
        <is>
          <t>W003</t>
        </is>
      </c>
      <c r="I189" s="3" t="n">
        <v>1806</v>
      </c>
      <c r="J189" s="3" t="n">
        <v>112</v>
      </c>
      <c r="K189" s="4">
        <f>IF(I189=0,0,J189/I189)</f>
        <v/>
      </c>
    </row>
    <row r="190">
      <c r="A190" s="5" t="inlineStr">
        <is>
          <t>B2024188</t>
        </is>
      </c>
      <c r="B190" s="5" t="inlineStr">
        <is>
          <t>2024-02-18</t>
        </is>
      </c>
      <c r="C190" s="5" t="inlineStr">
        <is>
          <t>L-03</t>
        </is>
      </c>
      <c r="D190" s="5" t="inlineStr">
        <is>
          <t>PRD-B</t>
        </is>
      </c>
      <c r="E190" s="5" t="n">
        <v>188.9</v>
      </c>
      <c r="F190" s="5" t="n">
        <v>6.23</v>
      </c>
      <c r="G190" s="5" t="n">
        <v>66.40000000000001</v>
      </c>
      <c r="H190" s="5" t="inlineStr">
        <is>
          <t>W005</t>
        </is>
      </c>
      <c r="I190" s="5" t="n">
        <v>553</v>
      </c>
      <c r="J190" s="5" t="n">
        <v>30</v>
      </c>
      <c r="K190" s="6">
        <f>IF(I190=0,0,J190/I190)</f>
        <v/>
      </c>
    </row>
    <row r="191">
      <c r="A191" s="3" t="inlineStr">
        <is>
          <t>B2024189</t>
        </is>
      </c>
      <c r="B191" s="3" t="inlineStr">
        <is>
          <t>2024-02-23</t>
        </is>
      </c>
      <c r="C191" s="3" t="inlineStr">
        <is>
          <t>L-02</t>
        </is>
      </c>
      <c r="D191" s="3" t="inlineStr">
        <is>
          <t>PRD-D</t>
        </is>
      </c>
      <c r="E191" s="3" t="n">
        <v>188.4</v>
      </c>
      <c r="F191" s="3" t="n">
        <v>5.4</v>
      </c>
      <c r="G191" s="3" t="n">
        <v>51.8</v>
      </c>
      <c r="H191" s="3" t="inlineStr">
        <is>
          <t>W004</t>
        </is>
      </c>
      <c r="I191" s="3" t="n">
        <v>1133</v>
      </c>
      <c r="J191" s="3" t="n">
        <v>42</v>
      </c>
      <c r="K191" s="4">
        <f>IF(I191=0,0,J191/I191)</f>
        <v/>
      </c>
    </row>
    <row r="192">
      <c r="A192" s="5" t="inlineStr">
        <is>
          <t>B2024190</t>
        </is>
      </c>
      <c r="B192" s="5" t="inlineStr">
        <is>
          <t>2024-01-15</t>
        </is>
      </c>
      <c r="C192" s="5" t="inlineStr">
        <is>
          <t>L-03</t>
        </is>
      </c>
      <c r="D192" s="5" t="inlineStr">
        <is>
          <t>PRD-D</t>
        </is>
      </c>
      <c r="E192" s="5" t="n">
        <v>186.8</v>
      </c>
      <c r="F192" s="5" t="n">
        <v>5.08</v>
      </c>
      <c r="G192" s="5" t="n">
        <v>79</v>
      </c>
      <c r="H192" s="5" t="inlineStr">
        <is>
          <t>W004</t>
        </is>
      </c>
      <c r="I192" s="5" t="n">
        <v>1815</v>
      </c>
      <c r="J192" s="5" t="n">
        <v>135</v>
      </c>
      <c r="K192" s="6">
        <f>IF(I192=0,0,J192/I192)</f>
        <v/>
      </c>
    </row>
    <row r="193">
      <c r="A193" s="3" t="inlineStr">
        <is>
          <t>B2024191</t>
        </is>
      </c>
      <c r="B193" s="3" t="inlineStr">
        <is>
          <t>2024-02-17</t>
        </is>
      </c>
      <c r="C193" s="3" t="inlineStr">
        <is>
          <t>L-03</t>
        </is>
      </c>
      <c r="D193" s="3" t="inlineStr">
        <is>
          <t>PRD-C</t>
        </is>
      </c>
      <c r="E193" s="3" t="n">
        <v>195.4</v>
      </c>
      <c r="F193" s="3" t="n">
        <v>6.68</v>
      </c>
      <c r="G193" s="3" t="n">
        <v>42.4</v>
      </c>
      <c r="H193" s="3" t="inlineStr">
        <is>
          <t>W001</t>
        </is>
      </c>
      <c r="I193" s="3" t="n">
        <v>764</v>
      </c>
      <c r="J193" s="3" t="n">
        <v>43</v>
      </c>
      <c r="K193" s="4">
        <f>IF(I193=0,0,J193/I193)</f>
        <v/>
      </c>
    </row>
    <row r="194">
      <c r="A194" s="5" t="inlineStr">
        <is>
          <t>B2024192</t>
        </is>
      </c>
      <c r="B194" s="5" t="inlineStr">
        <is>
          <t>2024-02-28</t>
        </is>
      </c>
      <c r="C194" s="5" t="inlineStr">
        <is>
          <t>L-01</t>
        </is>
      </c>
      <c r="D194" s="5" t="inlineStr">
        <is>
          <t>PRD-B</t>
        </is>
      </c>
      <c r="E194" s="5" t="n">
        <v>183.4</v>
      </c>
      <c r="F194" s="5" t="n">
        <v>6.28</v>
      </c>
      <c r="G194" s="5" t="n">
        <v>61.6</v>
      </c>
      <c r="H194" s="5" t="inlineStr">
        <is>
          <t>W001</t>
        </is>
      </c>
      <c r="I194" s="5" t="n">
        <v>1562</v>
      </c>
      <c r="J194" s="5" t="n">
        <v>27</v>
      </c>
      <c r="K194" s="6">
        <f>IF(I194=0,0,J194/I194)</f>
        <v/>
      </c>
    </row>
    <row r="195">
      <c r="A195" s="3" t="inlineStr">
        <is>
          <t>B2024193</t>
        </is>
      </c>
      <c r="B195" s="3" t="inlineStr">
        <is>
          <t>2024-01-17</t>
        </is>
      </c>
      <c r="C195" s="3" t="inlineStr">
        <is>
          <t>L-02</t>
        </is>
      </c>
      <c r="D195" s="3" t="inlineStr">
        <is>
          <t>PRD-B</t>
        </is>
      </c>
      <c r="E195" s="3" t="n">
        <v>178.3</v>
      </c>
      <c r="F195" s="3" t="n">
        <v>5.53</v>
      </c>
      <c r="G195" s="3" t="n">
        <v>61</v>
      </c>
      <c r="H195" s="3" t="inlineStr">
        <is>
          <t>W002</t>
        </is>
      </c>
      <c r="I195" s="3" t="n">
        <v>1592</v>
      </c>
      <c r="J195" s="3" t="n">
        <v>39</v>
      </c>
      <c r="K195" s="4">
        <f>IF(I195=0,0,J195/I195)</f>
        <v/>
      </c>
    </row>
    <row r="196">
      <c r="A196" s="5" t="inlineStr">
        <is>
          <t>B2024194</t>
        </is>
      </c>
      <c r="B196" s="5" t="inlineStr">
        <is>
          <t>2024-01-27</t>
        </is>
      </c>
      <c r="C196" s="5" t="inlineStr">
        <is>
          <t>L-03</t>
        </is>
      </c>
      <c r="D196" s="5" t="inlineStr">
        <is>
          <t>PRD-B</t>
        </is>
      </c>
      <c r="E196" s="5" t="n">
        <v>190.3</v>
      </c>
      <c r="F196" s="5" t="n">
        <v>6.62</v>
      </c>
      <c r="G196" s="5" t="n">
        <v>62.4</v>
      </c>
      <c r="H196" s="5" t="inlineStr">
        <is>
          <t>W001</t>
        </is>
      </c>
      <c r="I196" s="5" t="n">
        <v>1654</v>
      </c>
      <c r="J196" s="5" t="n">
        <v>92</v>
      </c>
      <c r="K196" s="6">
        <f>IF(I196=0,0,J196/I196)</f>
        <v/>
      </c>
    </row>
    <row r="197">
      <c r="A197" s="3" t="inlineStr">
        <is>
          <t>B2024195</t>
        </is>
      </c>
      <c r="B197" s="3" t="inlineStr">
        <is>
          <t>2024-02-20</t>
        </is>
      </c>
      <c r="C197" s="3" t="inlineStr">
        <is>
          <t>L-01</t>
        </is>
      </c>
      <c r="D197" s="3" t="inlineStr">
        <is>
          <t>PRD-A</t>
        </is>
      </c>
      <c r="E197" s="3" t="n">
        <v>198</v>
      </c>
      <c r="F197" s="3" t="n">
        <v>5.73</v>
      </c>
      <c r="G197" s="3" t="n">
        <v>54.4</v>
      </c>
      <c r="H197" s="3" t="inlineStr">
        <is>
          <t>W001</t>
        </is>
      </c>
      <c r="I197" s="3" t="n">
        <v>1671</v>
      </c>
      <c r="J197" s="3" t="n">
        <v>92</v>
      </c>
      <c r="K197" s="4">
        <f>IF(I197=0,0,J197/I197)</f>
        <v/>
      </c>
    </row>
    <row r="198">
      <c r="A198" s="5" t="inlineStr">
        <is>
          <t>B2024196</t>
        </is>
      </c>
      <c r="B198" s="5" t="inlineStr">
        <is>
          <t>2024-02-15</t>
        </is>
      </c>
      <c r="C198" s="5" t="inlineStr">
        <is>
          <t>L-02</t>
        </is>
      </c>
      <c r="D198" s="5" t="inlineStr">
        <is>
          <t>PRD-C</t>
        </is>
      </c>
      <c r="E198" s="5" t="n">
        <v>180.7</v>
      </c>
      <c r="F198" s="5" t="n">
        <v>5.67</v>
      </c>
      <c r="G198" s="5" t="n">
        <v>55.6</v>
      </c>
      <c r="H198" s="5" t="inlineStr">
        <is>
          <t>W001</t>
        </is>
      </c>
      <c r="I198" s="5" t="n">
        <v>1331</v>
      </c>
      <c r="J198" s="5" t="n">
        <v>45</v>
      </c>
      <c r="K198" s="6">
        <f>IF(I198=0,0,J198/I198)</f>
        <v/>
      </c>
    </row>
    <row r="199">
      <c r="A199" s="3" t="inlineStr">
        <is>
          <t>B2024197</t>
        </is>
      </c>
      <c r="B199" s="3" t="inlineStr">
        <is>
          <t>2024-02-28</t>
        </is>
      </c>
      <c r="C199" s="3" t="inlineStr">
        <is>
          <t>L-03</t>
        </is>
      </c>
      <c r="D199" s="3" t="inlineStr">
        <is>
          <t>PRD-A</t>
        </is>
      </c>
      <c r="E199" s="3" t="n">
        <v>189.5</v>
      </c>
      <c r="F199" s="3" t="n">
        <v>6.43</v>
      </c>
      <c r="G199" s="3" t="n">
        <v>46.1</v>
      </c>
      <c r="H199" s="3" t="inlineStr">
        <is>
          <t>W003</t>
        </is>
      </c>
      <c r="I199" s="3" t="n">
        <v>794</v>
      </c>
      <c r="J199" s="3" t="n">
        <v>25</v>
      </c>
      <c r="K199" s="4">
        <f>IF(I199=0,0,J199/I199)</f>
        <v/>
      </c>
    </row>
    <row r="200">
      <c r="A200" s="5" t="inlineStr">
        <is>
          <t>B2024198</t>
        </is>
      </c>
      <c r="B200" s="5" t="inlineStr">
        <is>
          <t>2024-01-15</t>
        </is>
      </c>
      <c r="C200" s="5" t="inlineStr">
        <is>
          <t>L-03</t>
        </is>
      </c>
      <c r="D200" s="5" t="inlineStr">
        <is>
          <t>PRD-C</t>
        </is>
      </c>
      <c r="E200" s="5" t="n">
        <v>189.2</v>
      </c>
      <c r="F200" s="5" t="n">
        <v>5.96</v>
      </c>
      <c r="G200" s="5" t="n">
        <v>46.2</v>
      </c>
      <c r="H200" s="5" t="inlineStr">
        <is>
          <t>W001</t>
        </is>
      </c>
      <c r="I200" s="5" t="n">
        <v>1153</v>
      </c>
      <c r="J200" s="5" t="n">
        <v>43</v>
      </c>
      <c r="K200" s="6">
        <f>IF(I200=0,0,J200/I200)</f>
        <v/>
      </c>
    </row>
    <row r="201">
      <c r="A201" s="3" t="inlineStr">
        <is>
          <t>B2024199</t>
        </is>
      </c>
      <c r="B201" s="3" t="inlineStr">
        <is>
          <t>2024-02-08</t>
        </is>
      </c>
      <c r="C201" s="3" t="inlineStr">
        <is>
          <t>L-02</t>
        </is>
      </c>
      <c r="D201" s="3" t="inlineStr">
        <is>
          <t>PRD-D</t>
        </is>
      </c>
      <c r="E201" s="3" t="n">
        <v>185</v>
      </c>
      <c r="F201" s="3" t="n">
        <v>6.23</v>
      </c>
      <c r="G201" s="3" t="n">
        <v>52.5</v>
      </c>
      <c r="H201" s="3" t="inlineStr">
        <is>
          <t>W002</t>
        </is>
      </c>
      <c r="I201" s="3" t="n">
        <v>1760</v>
      </c>
      <c r="J201" s="3" t="n">
        <v>48</v>
      </c>
      <c r="K201" s="4">
        <f>IF(I201=0,0,J201/I201)</f>
        <v/>
      </c>
    </row>
    <row r="202">
      <c r="A202" s="5" t="inlineStr">
        <is>
          <t>B2024200</t>
        </is>
      </c>
      <c r="B202" s="5" t="inlineStr">
        <is>
          <t>2024-02-01</t>
        </is>
      </c>
      <c r="C202" s="5" t="inlineStr">
        <is>
          <t>L-02</t>
        </is>
      </c>
      <c r="D202" s="5" t="inlineStr">
        <is>
          <t>PRD-C</t>
        </is>
      </c>
      <c r="E202" s="5" t="n">
        <v>186.7</v>
      </c>
      <c r="F202" s="5" t="n">
        <v>6.27</v>
      </c>
      <c r="G202" s="5" t="n">
        <v>66.2</v>
      </c>
      <c r="H202" s="5" t="inlineStr">
        <is>
          <t>W001</t>
        </is>
      </c>
      <c r="I202" s="5" t="n">
        <v>1131</v>
      </c>
      <c r="J202" s="5" t="n">
        <v>39</v>
      </c>
      <c r="K202" s="6">
        <f>IF(I202=0,0,J202/I202)</f>
        <v/>
      </c>
    </row>
  </sheetData>
  <autoFilter ref="A2:K20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📊  공정 통계 요약</t>
        </is>
      </c>
    </row>
    <row r="3">
      <c r="A3" s="7" t="inlineStr">
        <is>
          <t>📌 라인별 불량률 요약</t>
        </is>
      </c>
    </row>
    <row r="4">
      <c r="A4" s="2" t="inlineStr">
        <is>
          <t>라인</t>
        </is>
      </c>
      <c r="B4" s="2" t="inlineStr">
        <is>
          <t>생산수량 합계</t>
        </is>
      </c>
      <c r="C4" s="2" t="inlineStr">
        <is>
          <t>불량수량 합계</t>
        </is>
      </c>
      <c r="D4" s="2" t="inlineStr">
        <is>
          <t>평균불량률</t>
        </is>
      </c>
      <c r="E4" s="2" t="inlineStr">
        <is>
          <t>최대불량률</t>
        </is>
      </c>
      <c r="F4" s="2" t="inlineStr">
        <is>
          <t>최소불량률</t>
        </is>
      </c>
    </row>
    <row r="5">
      <c r="A5" s="3" t="inlineStr">
        <is>
          <t>L-01</t>
        </is>
      </c>
      <c r="B5" s="3">
        <f>SUMIF(공정데이터!C$3:C$202,A5,공정데이터!I$3:I$202)</f>
        <v/>
      </c>
      <c r="C5" s="3">
        <f>SUMIF(공정데이터!C$3:C$202,A5,공정데이터!J$3:J$202)</f>
        <v/>
      </c>
      <c r="D5" s="4">
        <f>AVERAGEIF(공정데이터!C$3:C$202,A5,공정데이터!K$3:K$202)</f>
        <v/>
      </c>
      <c r="E5" s="4">
        <f>MAXIFS(공정데이터!K$3:K$202,공정데이터!C$3:C$202,A5)</f>
        <v/>
      </c>
      <c r="F5" s="4">
        <f>MINIFS(공정데이터!K$3:K$202,공정데이터!C$3:C$202,A5)</f>
        <v/>
      </c>
    </row>
    <row r="6">
      <c r="A6" s="5" t="inlineStr">
        <is>
          <t>L-02</t>
        </is>
      </c>
      <c r="B6" s="5">
        <f>SUMIF(공정데이터!C$3:C$202,A6,공정데이터!I$3:I$202)</f>
        <v/>
      </c>
      <c r="C6" s="5">
        <f>SUMIF(공정데이터!C$3:C$202,A6,공정데이터!J$3:J$202)</f>
        <v/>
      </c>
      <c r="D6" s="6">
        <f>AVERAGEIF(공정데이터!C$3:C$202,A6,공정데이터!K$3:K$202)</f>
        <v/>
      </c>
      <c r="E6" s="6">
        <f>MAXIFS(공정데이터!K$3:K$202,공정데이터!C$3:C$202,A6)</f>
        <v/>
      </c>
      <c r="F6" s="6">
        <f>MINIFS(공정데이터!K$3:K$202,공정데이터!C$3:C$202,A6)</f>
        <v/>
      </c>
    </row>
    <row r="7">
      <c r="A7" s="3" t="inlineStr">
        <is>
          <t>L-03</t>
        </is>
      </c>
      <c r="B7" s="3">
        <f>SUMIF(공정데이터!C$3:C$202,A7,공정데이터!I$3:I$202)</f>
        <v/>
      </c>
      <c r="C7" s="3">
        <f>SUMIF(공정데이터!C$3:C$202,A7,공정데이터!J$3:J$202)</f>
        <v/>
      </c>
      <c r="D7" s="4">
        <f>AVERAGEIF(공정데이터!C$3:C$202,A7,공정데이터!K$3:K$202)</f>
        <v/>
      </c>
      <c r="E7" s="4">
        <f>MAXIFS(공정데이터!K$3:K$202,공정데이터!C$3:C$202,A7)</f>
        <v/>
      </c>
      <c r="F7" s="4">
        <f>MINIFS(공정데이터!K$3:K$202,공정데이터!C$3:C$202,A7)</f>
        <v/>
      </c>
    </row>
    <row r="10">
      <c r="A10" s="7" t="inlineStr">
        <is>
          <t>📌 제품별 불량률 요약</t>
        </is>
      </c>
    </row>
    <row r="11">
      <c r="A11" s="2" t="inlineStr">
        <is>
          <t>제품코드</t>
        </is>
      </c>
      <c r="B11" s="2" t="inlineStr">
        <is>
          <t>생산수량 합계</t>
        </is>
      </c>
      <c r="C11" s="2" t="inlineStr">
        <is>
          <t>불량수량 합계</t>
        </is>
      </c>
      <c r="D11" s="2" t="inlineStr">
        <is>
          <t>평균불량률</t>
        </is>
      </c>
    </row>
    <row r="12">
      <c r="A12" s="3" t="inlineStr">
        <is>
          <t>PRD-A</t>
        </is>
      </c>
      <c r="B12" s="3">
        <f>SUMIF(공정데이터!D$3:D$202,A12,공정데이터!I$3:I$202)</f>
        <v/>
      </c>
      <c r="C12" s="3">
        <f>SUMIF(공정데이터!D$3:D$202,A12,공정데이터!J$3:J$202)</f>
        <v/>
      </c>
      <c r="D12" s="4">
        <f>AVERAGEIF(공정데이터!D$3:D$202,A12,공정데이터!K$3:K$202)</f>
        <v/>
      </c>
    </row>
    <row r="13">
      <c r="A13" s="5" t="inlineStr">
        <is>
          <t>PRD-B</t>
        </is>
      </c>
      <c r="B13" s="5">
        <f>SUMIF(공정데이터!D$3:D$202,A13,공정데이터!I$3:I$202)</f>
        <v/>
      </c>
      <c r="C13" s="5">
        <f>SUMIF(공정데이터!D$3:D$202,A13,공정데이터!J$3:J$202)</f>
        <v/>
      </c>
      <c r="D13" s="6">
        <f>AVERAGEIF(공정데이터!D$3:D$202,A13,공정데이터!K$3:K$202)</f>
        <v/>
      </c>
    </row>
    <row r="14">
      <c r="A14" s="3" t="inlineStr">
        <is>
          <t>PRD-C</t>
        </is>
      </c>
      <c r="B14" s="3">
        <f>SUMIF(공정데이터!D$3:D$202,A14,공정데이터!I$3:I$202)</f>
        <v/>
      </c>
      <c r="C14" s="3">
        <f>SUMIF(공정데이터!D$3:D$202,A14,공정데이터!J$3:J$202)</f>
        <v/>
      </c>
      <c r="D14" s="4">
        <f>AVERAGEIF(공정데이터!D$3:D$202,A14,공정데이터!K$3:K$202)</f>
        <v/>
      </c>
    </row>
    <row r="15">
      <c r="A15" s="5" t="inlineStr">
        <is>
          <t>PRD-D</t>
        </is>
      </c>
      <c r="B15" s="5">
        <f>SUMIF(공정데이터!D$3:D$202,A15,공정데이터!I$3:I$202)</f>
        <v/>
      </c>
      <c r="C15" s="5">
        <f>SUMIF(공정데이터!D$3:D$202,A15,공정데이터!J$3:J$202)</f>
        <v/>
      </c>
      <c r="D15" s="6">
        <f>AVERAGEIF(공정데이터!D$3:D$202,A15,공정데이터!K$3:K$202)</f>
        <v/>
      </c>
    </row>
    <row r="18">
      <c r="A18" s="7" t="inlineStr">
        <is>
          <t>📌 전체 KPI</t>
        </is>
      </c>
    </row>
    <row r="19">
      <c r="A19" s="2" t="inlineStr">
        <is>
          <t>KPI 항목</t>
        </is>
      </c>
      <c r="B19" s="2" t="inlineStr">
        <is>
          <t>값</t>
        </is>
      </c>
    </row>
    <row r="20">
      <c r="A20" s="3" t="inlineStr">
        <is>
          <t>총 배치 수</t>
        </is>
      </c>
      <c r="B20" s="3">
        <f>COUNTA(공정데이터!A3:A202)</f>
        <v/>
      </c>
    </row>
    <row r="21">
      <c r="A21" s="5" t="inlineStr">
        <is>
          <t>총 생산수량</t>
        </is>
      </c>
      <c r="B21" s="5">
        <f>SUM(공정데이터!I3:I202)</f>
        <v/>
      </c>
    </row>
    <row r="22">
      <c r="A22" s="3" t="inlineStr">
        <is>
          <t>총 불량수량</t>
        </is>
      </c>
      <c r="B22" s="3">
        <f>SUM(공정데이터!J3:J202)</f>
        <v/>
      </c>
    </row>
    <row r="23">
      <c r="A23" s="5" t="inlineStr">
        <is>
          <t>전체 평균 불량률</t>
        </is>
      </c>
      <c r="B23" s="6">
        <f>AVERAGE(공정데이터!K3:K202)</f>
        <v/>
      </c>
    </row>
    <row r="24">
      <c r="A24" s="3" t="inlineStr">
        <is>
          <t>최고 불량률</t>
        </is>
      </c>
      <c r="B24" s="4">
        <f>MAX(공정데이터!K3:K202)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22" customWidth="1" min="4" max="4"/>
  </cols>
  <sheetData>
    <row r="1" ht="28" customHeight="1">
      <c r="A1" s="1" t="inlineStr">
        <is>
          <t>📋  데이터 설명 (README)</t>
        </is>
      </c>
    </row>
    <row r="3">
      <c r="A3" s="2" t="inlineStr">
        <is>
          <t>컬럼명</t>
        </is>
      </c>
      <c r="B3" s="2" t="inlineStr">
        <is>
          <t>단위</t>
        </is>
      </c>
      <c r="C3" s="2" t="inlineStr">
        <is>
          <t>설명</t>
        </is>
      </c>
      <c r="D3" s="2" t="inlineStr">
        <is>
          <t>비고</t>
        </is>
      </c>
    </row>
    <row r="4">
      <c r="A4" s="8" t="inlineStr">
        <is>
          <t>배치ID</t>
        </is>
      </c>
      <c r="B4" s="8" t="inlineStr">
        <is>
          <t>-</t>
        </is>
      </c>
      <c r="C4" s="8" t="inlineStr">
        <is>
          <t>생산 배치 고유 ID</t>
        </is>
      </c>
      <c r="D4" s="8" t="inlineStr">
        <is>
          <t>B + 7자리 숫자</t>
        </is>
      </c>
    </row>
    <row r="5">
      <c r="A5" s="9" t="inlineStr">
        <is>
          <t>날짜</t>
        </is>
      </c>
      <c r="B5" s="9" t="inlineStr">
        <is>
          <t>-</t>
        </is>
      </c>
      <c r="C5" s="9" t="inlineStr">
        <is>
          <t>생산 날짜</t>
        </is>
      </c>
      <c r="D5" s="9" t="inlineStr">
        <is>
          <t>YYYY-MM-DD</t>
        </is>
      </c>
    </row>
    <row r="6">
      <c r="A6" s="8" t="inlineStr">
        <is>
          <t>라인</t>
        </is>
      </c>
      <c r="B6" s="8" t="inlineStr">
        <is>
          <t>-</t>
        </is>
      </c>
      <c r="C6" s="8" t="inlineStr">
        <is>
          <t>생산 라인 코드</t>
        </is>
      </c>
      <c r="D6" s="8" t="inlineStr">
        <is>
          <t>L-01 / L-02 / L-03</t>
        </is>
      </c>
    </row>
    <row r="7">
      <c r="A7" s="9" t="inlineStr">
        <is>
          <t>제품코드</t>
        </is>
      </c>
      <c r="B7" s="9" t="inlineStr">
        <is>
          <t>-</t>
        </is>
      </c>
      <c r="C7" s="9" t="inlineStr">
        <is>
          <t>제품 종류</t>
        </is>
      </c>
      <c r="D7" s="9" t="inlineStr">
        <is>
          <t>PRD-A~D</t>
        </is>
      </c>
    </row>
    <row r="8">
      <c r="A8" s="8" t="inlineStr">
        <is>
          <t>온도</t>
        </is>
      </c>
      <c r="B8" s="8" t="inlineStr">
        <is>
          <t>°C</t>
        </is>
      </c>
      <c r="C8" s="8" t="inlineStr">
        <is>
          <t>공정 온도</t>
        </is>
      </c>
      <c r="D8" s="8" t="inlineStr">
        <is>
          <t>정상범위: 180~190°C</t>
        </is>
      </c>
    </row>
    <row r="9">
      <c r="A9" s="9" t="inlineStr">
        <is>
          <t>압력</t>
        </is>
      </c>
      <c r="B9" s="9" t="inlineStr">
        <is>
          <t>bar</t>
        </is>
      </c>
      <c r="C9" s="9" t="inlineStr">
        <is>
          <t>공정 압력</t>
        </is>
      </c>
      <c r="D9" s="9" t="inlineStr">
        <is>
          <t>정상범위: 5.5~6.5bar</t>
        </is>
      </c>
    </row>
    <row r="10">
      <c r="A10" s="8" t="inlineStr">
        <is>
          <t>습도</t>
        </is>
      </c>
      <c r="B10" s="8" t="inlineStr">
        <is>
          <t>%</t>
        </is>
      </c>
      <c r="C10" s="8" t="inlineStr">
        <is>
          <t>작업장 상대습도</t>
        </is>
      </c>
      <c r="D10" s="8" t="inlineStr">
        <is>
          <t>정상범위: 45~65%</t>
        </is>
      </c>
    </row>
    <row r="11">
      <c r="A11" s="9" t="inlineStr">
        <is>
          <t>작업자ID</t>
        </is>
      </c>
      <c r="B11" s="9" t="inlineStr">
        <is>
          <t>-</t>
        </is>
      </c>
      <c r="C11" s="9" t="inlineStr">
        <is>
          <t>작업자 고유 ID</t>
        </is>
      </c>
      <c r="D11" s="9" t="inlineStr">
        <is>
          <t>W001~W005</t>
        </is>
      </c>
    </row>
    <row r="12">
      <c r="A12" s="8" t="inlineStr">
        <is>
          <t>생산수량</t>
        </is>
      </c>
      <c r="B12" s="8" t="inlineStr">
        <is>
          <t>개</t>
        </is>
      </c>
      <c r="C12" s="8" t="inlineStr">
        <is>
          <t>해당 배치 총 생산량</t>
        </is>
      </c>
      <c r="D12" s="8" t="inlineStr"/>
    </row>
    <row r="13">
      <c r="A13" s="9" t="inlineStr">
        <is>
          <t>불량수량</t>
        </is>
      </c>
      <c r="B13" s="9" t="inlineStr">
        <is>
          <t>개</t>
        </is>
      </c>
      <c r="C13" s="9" t="inlineStr">
        <is>
          <t>해당 배치 불량 개수</t>
        </is>
      </c>
      <c r="D13" s="9" t="inlineStr"/>
    </row>
    <row r="14">
      <c r="A14" s="8" t="inlineStr">
        <is>
          <t>불량률</t>
        </is>
      </c>
      <c r="B14" s="8" t="inlineStr">
        <is>
          <t>%</t>
        </is>
      </c>
      <c r="C14" s="8" t="inlineStr">
        <is>
          <t>불량수량 / 생산수량</t>
        </is>
      </c>
      <c r="D14" s="8" t="inlineStr">
        <is>
          <t>수식 자동 계산</t>
        </is>
      </c>
    </row>
    <row r="18">
      <c r="A18" s="7" t="inlineStr">
        <is>
          <t>🎯 머신러닝 목표</t>
        </is>
      </c>
    </row>
    <row r="19">
      <c r="A19" s="10" t="inlineStr">
        <is>
          <t>온도, 압력, 습도, 라인 정보를 이용하여 불량 여부(불량률 &gt; 5%)를 예측하는 분류 모델 학습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2026-05-05T04:19:53Z</dcterms:created>
  <dcterms:modified xmlns:dcterms="http://purl.org/dc/terms/" xmlns:xsi="http://www.w3.org/2001/XMLSchema-instance" xsi:type="dcterms:W3CDTF">2026-05-05T04:19:54Z</dcterms:modified>
</cp:coreProperties>
</file>